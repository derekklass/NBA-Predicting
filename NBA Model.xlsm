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Sheet1" sheetId="1" r:id="rId5"/>
  </sheets>
  <definedNames>
    <definedName name="QueryLink2">#REF!</definedName>
    <definedName name="QueryURLAway">#REF!</definedName>
    <definedName name="QueryURL2">Sheet1!$A$12</definedName>
    <definedName name="QueryURL1">#REF!</definedName>
    <definedName name="QueryURL">Sheet1!$A$7</definedName>
    <definedName localSheetId="0" name="ExternalData_2">Sheet1!$AX$1:$CJ$53</definedName>
    <definedName name="ergregre">#REF!</definedName>
    <definedName localSheetId="0" name="ExternalData_1">Sheet1!$H$1:$AT$53</definedName>
  </definedNames>
  <calcPr/>
  <extLst>
    <ext uri="GoogleSheetsCustomDataVersion2">
      <go:sheetsCustomData xmlns:go="http://customooxmlschemas.google.com/" r:id="rId6" roundtripDataChecksum="UZkCpnIffgxNSqZZ8Oh4Jay/Sqx7Yc/NoXs8W1xGBTE="/>
    </ext>
  </extLst>
</workbook>
</file>

<file path=xl/sharedStrings.xml><?xml version="1.0" encoding="utf-8"?>
<sst xmlns="http://schemas.openxmlformats.org/spreadsheetml/2006/main" count="2431" uniqueCount="601">
  <si>
    <t>Home Effective Field Goal %:</t>
  </si>
  <si>
    <t>G</t>
  </si>
  <si>
    <t>Date</t>
  </si>
  <si>
    <t>Column1</t>
  </si>
  <si>
    <t>Opp</t>
  </si>
  <si>
    <t>W/L</t>
  </si>
  <si>
    <t>Tm</t>
  </si>
  <si>
    <t>Opp2</t>
  </si>
  <si>
    <t>Team FG</t>
  </si>
  <si>
    <t>Team FGA</t>
  </si>
  <si>
    <t>Team FG%</t>
  </si>
  <si>
    <t>Team 3P</t>
  </si>
  <si>
    <t>Team 3PA</t>
  </si>
  <si>
    <t>Team 3P%</t>
  </si>
  <si>
    <t>Team FT</t>
  </si>
  <si>
    <t>Team FTA</t>
  </si>
  <si>
    <t>Team FT%</t>
  </si>
  <si>
    <t>Team ORB</t>
  </si>
  <si>
    <t>Team TRB</t>
  </si>
  <si>
    <t>Team AST</t>
  </si>
  <si>
    <t>Team STL</t>
  </si>
  <si>
    <t>Team BLK</t>
  </si>
  <si>
    <t>Team TOV</t>
  </si>
  <si>
    <t>Team PF</t>
  </si>
  <si>
    <t>Opponent FG</t>
  </si>
  <si>
    <t>Opponent FGA</t>
  </si>
  <si>
    <t>Opponent FG%</t>
  </si>
  <si>
    <t>Opponent 3P</t>
  </si>
  <si>
    <t>Opponent 3PA</t>
  </si>
  <si>
    <t>Opponent 3P%</t>
  </si>
  <si>
    <t>Opponent FT</t>
  </si>
  <si>
    <t>Opponent FTA</t>
  </si>
  <si>
    <t>Opponent FT%</t>
  </si>
  <si>
    <t>Opponent ORB</t>
  </si>
  <si>
    <t>Opponent TRB</t>
  </si>
  <si>
    <t>Opponent AST</t>
  </si>
  <si>
    <t>Opponent STL</t>
  </si>
  <si>
    <t>Opponent BLK</t>
  </si>
  <si>
    <t>Opponent TOV</t>
  </si>
  <si>
    <t>Opponent PF</t>
  </si>
  <si>
    <t>Team DRB</t>
  </si>
  <si>
    <t>Opponent DRB</t>
  </si>
  <si>
    <t>REFRESH</t>
  </si>
  <si>
    <t>HFG</t>
  </si>
  <si>
    <t>1</t>
  </si>
  <si>
    <t>2020-12-26</t>
  </si>
  <si>
    <t>@</t>
  </si>
  <si>
    <t>CHO</t>
  </si>
  <si>
    <t>W</t>
  </si>
  <si>
    <t>109</t>
  </si>
  <si>
    <t>107</t>
  </si>
  <si>
    <t>.455</t>
  </si>
  <si>
    <t>36</t>
  </si>
  <si>
    <t>.278</t>
  </si>
  <si>
    <t>.792</t>
  </si>
  <si>
    <t>25</t>
  </si>
  <si>
    <t>10</t>
  </si>
  <si>
    <t>7</t>
  </si>
  <si>
    <t>21</t>
  </si>
  <si>
    <t>.398</t>
  </si>
  <si>
    <t>32</t>
  </si>
  <si>
    <t>.406</t>
  </si>
  <si>
    <t>.625</t>
  </si>
  <si>
    <t>27</t>
  </si>
  <si>
    <t>11</t>
  </si>
  <si>
    <t>8</t>
  </si>
  <si>
    <t>22</t>
  </si>
  <si>
    <t>2020-12-23</t>
  </si>
  <si>
    <t>WAS</t>
  </si>
  <si>
    <t>113</t>
  </si>
  <si>
    <t>.471</t>
  </si>
  <si>
    <t>28</t>
  </si>
  <si>
    <t>.286</t>
  </si>
  <si>
    <t>.767</t>
  </si>
  <si>
    <t>.459</t>
  </si>
  <si>
    <t>.481</t>
  </si>
  <si>
    <t>.696</t>
  </si>
  <si>
    <t>4</t>
  </si>
  <si>
    <t>26</t>
  </si>
  <si>
    <t>Defensive eFG%:</t>
  </si>
  <si>
    <t>2</t>
  </si>
  <si>
    <t>2020-12-28</t>
  </si>
  <si>
    <t>UTA</t>
  </si>
  <si>
    <t>L</t>
  </si>
  <si>
    <t>110</t>
  </si>
  <si>
    <t>.465</t>
  </si>
  <si>
    <t>38</t>
  </si>
  <si>
    <t>.395</t>
  </si>
  <si>
    <t>.737</t>
  </si>
  <si>
    <t>9</t>
  </si>
  <si>
    <t>5</t>
  </si>
  <si>
    <t>16</t>
  </si>
  <si>
    <t>.500</t>
  </si>
  <si>
    <t>.361</t>
  </si>
  <si>
    <t>.786</t>
  </si>
  <si>
    <t>24</t>
  </si>
  <si>
    <t>6</t>
  </si>
  <si>
    <t>19</t>
  </si>
  <si>
    <t>NYK</t>
  </si>
  <si>
    <t>89</t>
  </si>
  <si>
    <t>.466</t>
  </si>
  <si>
    <t>31</t>
  </si>
  <si>
    <t>.355</t>
  </si>
  <si>
    <t>.727</t>
  </si>
  <si>
    <t>20</t>
  </si>
  <si>
    <t>.386</t>
  </si>
  <si>
    <t>29</t>
  </si>
  <si>
    <t>.276</t>
  </si>
  <si>
    <t>.739</t>
  </si>
  <si>
    <t>23</t>
  </si>
  <si>
    <t>Home team abbreviation:</t>
  </si>
  <si>
    <t>H3P</t>
  </si>
  <si>
    <t>3</t>
  </si>
  <si>
    <t>2020-12-29</t>
  </si>
  <si>
    <t>ORL</t>
  </si>
  <si>
    <t>118</t>
  </si>
  <si>
    <t>.494</t>
  </si>
  <si>
    <t>34</t>
  </si>
  <si>
    <t>.324</t>
  </si>
  <si>
    <t>.526</t>
  </si>
  <si>
    <t>18</t>
  </si>
  <si>
    <t>.510</t>
  </si>
  <si>
    <t>.318</t>
  </si>
  <si>
    <t>.813</t>
  </si>
  <si>
    <t>12</t>
  </si>
  <si>
    <t>2020-12-27</t>
  </si>
  <si>
    <t>CLE</t>
  </si>
  <si>
    <t>94</t>
  </si>
  <si>
    <t>.418</t>
  </si>
  <si>
    <t>37</t>
  </si>
  <si>
    <t>.527</t>
  </si>
  <si>
    <t>.391</t>
  </si>
  <si>
    <t>13</t>
  </si>
  <si>
    <t>OKC</t>
  </si>
  <si>
    <t>Away eFG%:</t>
  </si>
  <si>
    <t>2020-12-31</t>
  </si>
  <si>
    <t>NOP</t>
  </si>
  <si>
    <t>80</t>
  </si>
  <si>
    <t>.375</t>
  </si>
  <si>
    <t>48</t>
  </si>
  <si>
    <t>.313</t>
  </si>
  <si>
    <t>.333</t>
  </si>
  <si>
    <t>.484</t>
  </si>
  <si>
    <t>.632</t>
  </si>
  <si>
    <t>TOR</t>
  </si>
  <si>
    <t>100</t>
  </si>
  <si>
    <t>93</t>
  </si>
  <si>
    <t>.381</t>
  </si>
  <si>
    <t>.258</t>
  </si>
  <si>
    <t>.848</t>
  </si>
  <si>
    <t>15</t>
  </si>
  <si>
    <t>.356</t>
  </si>
  <si>
    <t>45</t>
  </si>
  <si>
    <t>.378</t>
  </si>
  <si>
    <t>.857</t>
  </si>
  <si>
    <t>Query URL:</t>
  </si>
  <si>
    <t>HFGA</t>
  </si>
  <si>
    <t>2021-01-02</t>
  </si>
  <si>
    <t>108</t>
  </si>
  <si>
    <t>99</t>
  </si>
  <si>
    <t>.442</t>
  </si>
  <si>
    <t>41</t>
  </si>
  <si>
    <t>.317</t>
  </si>
  <si>
    <t>.905</t>
  </si>
  <si>
    <t>17</t>
  </si>
  <si>
    <t>.370</t>
  </si>
  <si>
    <t>.263</t>
  </si>
  <si>
    <t>.750</t>
  </si>
  <si>
    <t>116</t>
  </si>
  <si>
    <t>92</t>
  </si>
  <si>
    <t>33</t>
  </si>
  <si>
    <t>.867</t>
  </si>
  <si>
    <t>.347</t>
  </si>
  <si>
    <t>.250</t>
  </si>
  <si>
    <t>2021-01-04</t>
  </si>
  <si>
    <t>MIA</t>
  </si>
  <si>
    <t>90</t>
  </si>
  <si>
    <t>.367</t>
  </si>
  <si>
    <t>.271</t>
  </si>
  <si>
    <t>.704</t>
  </si>
  <si>
    <t>.568</t>
  </si>
  <si>
    <t>.556</t>
  </si>
  <si>
    <t>0</t>
  </si>
  <si>
    <t>127</t>
  </si>
  <si>
    <t>112</t>
  </si>
  <si>
    <t>.595</t>
  </si>
  <si>
    <t>35</t>
  </si>
  <si>
    <t>.457</t>
  </si>
  <si>
    <t>.708</t>
  </si>
  <si>
    <t>.413</t>
  </si>
  <si>
    <t>.371</t>
  </si>
  <si>
    <t>.885</t>
  </si>
  <si>
    <t>DFG</t>
  </si>
  <si>
    <t>2021-01-06</t>
  </si>
  <si>
    <t>111</t>
  </si>
  <si>
    <t>.460</t>
  </si>
  <si>
    <t>46</t>
  </si>
  <si>
    <t>.182</t>
  </si>
  <si>
    <t>.783</t>
  </si>
  <si>
    <t>101</t>
  </si>
  <si>
    <t>.344</t>
  </si>
  <si>
    <t>.652</t>
  </si>
  <si>
    <t>.419</t>
  </si>
  <si>
    <t>39</t>
  </si>
  <si>
    <t>30</t>
  </si>
  <si>
    <t>Away team abbreviation:</t>
  </si>
  <si>
    <t>Home Turnover %:</t>
  </si>
  <si>
    <t>2021-01-08</t>
  </si>
  <si>
    <t>.437</t>
  </si>
  <si>
    <t>.667</t>
  </si>
  <si>
    <t>.354</t>
  </si>
  <si>
    <t>.600</t>
  </si>
  <si>
    <t>141</t>
  </si>
  <si>
    <t>136</t>
  </si>
  <si>
    <t>.617</t>
  </si>
  <si>
    <t>.621</t>
  </si>
  <si>
    <t>.697</t>
  </si>
  <si>
    <t>.432</t>
  </si>
  <si>
    <t>.743</t>
  </si>
  <si>
    <t>PHI</t>
  </si>
  <si>
    <t>D3P</t>
  </si>
  <si>
    <t>2021-01-10</t>
  </si>
  <si>
    <t>BRK</t>
  </si>
  <si>
    <t>129</t>
  </si>
  <si>
    <t>.544</t>
  </si>
  <si>
    <t>.385</t>
  </si>
  <si>
    <t>.941</t>
  </si>
  <si>
    <t>.506</t>
  </si>
  <si>
    <t>.294</t>
  </si>
  <si>
    <t>.833</t>
  </si>
  <si>
    <t>2021-01-07</t>
  </si>
  <si>
    <t>122</t>
  </si>
  <si>
    <t>.346</t>
  </si>
  <si>
    <t>.900</t>
  </si>
  <si>
    <t>.454</t>
  </si>
  <si>
    <t>.405</t>
  </si>
  <si>
    <t>.655</t>
  </si>
  <si>
    <t>Defensive TO%:</t>
  </si>
  <si>
    <t>2021-01-12</t>
  </si>
  <si>
    <t>SAS</t>
  </si>
  <si>
    <t>102</t>
  </si>
  <si>
    <t>.434</t>
  </si>
  <si>
    <t>.269</t>
  </si>
  <si>
    <t>.793</t>
  </si>
  <si>
    <t>.909</t>
  </si>
  <si>
    <t>2021-01-09</t>
  </si>
  <si>
    <t>DEN</t>
  </si>
  <si>
    <t>103</t>
  </si>
  <si>
    <t>115</t>
  </si>
  <si>
    <t>.417</t>
  </si>
  <si>
    <t>.314</t>
  </si>
  <si>
    <t>.364</t>
  </si>
  <si>
    <t>DFGA</t>
  </si>
  <si>
    <t>2021-01-13</t>
  </si>
  <si>
    <t>LAL</t>
  </si>
  <si>
    <t>128</t>
  </si>
  <si>
    <t>.430</t>
  </si>
  <si>
    <t>.323</t>
  </si>
  <si>
    <t>.789</t>
  </si>
  <si>
    <t>.495</t>
  </si>
  <si>
    <t>.773</t>
  </si>
  <si>
    <t>2021-01-11</t>
  </si>
  <si>
    <t>ATL</t>
  </si>
  <si>
    <t>.402</t>
  </si>
  <si>
    <t>.222</t>
  </si>
  <si>
    <t>.923</t>
  </si>
  <si>
    <t>.374</t>
  </si>
  <si>
    <t>44</t>
  </si>
  <si>
    <t>.778</t>
  </si>
  <si>
    <t>Away TO%:</t>
  </si>
  <si>
    <t>2021-01-15</t>
  </si>
  <si>
    <t>CHI</t>
  </si>
  <si>
    <t>125</t>
  </si>
  <si>
    <t>.473</t>
  </si>
  <si>
    <t>.720</t>
  </si>
  <si>
    <t>137</t>
  </si>
  <si>
    <t>134</t>
  </si>
  <si>
    <t>.490</t>
  </si>
  <si>
    <t>55</t>
  </si>
  <si>
    <t>.345</t>
  </si>
  <si>
    <t>.462</t>
  </si>
  <si>
    <t>56</t>
  </si>
  <si>
    <t>.339</t>
  </si>
  <si>
    <t>Home court advantage or bias  (+ indicates Home):</t>
  </si>
  <si>
    <t>AFG</t>
  </si>
  <si>
    <t>2021-01-19</t>
  </si>
  <si>
    <t>119</t>
  </si>
  <si>
    <t>43</t>
  </si>
  <si>
    <t>.326</t>
  </si>
  <si>
    <t>.438</t>
  </si>
  <si>
    <t>42</t>
  </si>
  <si>
    <t>.929</t>
  </si>
  <si>
    <t>2021-01-14</t>
  </si>
  <si>
    <t>.537</t>
  </si>
  <si>
    <t>.353</t>
  </si>
  <si>
    <t>.615</t>
  </si>
  <si>
    <t>Defensive TO%</t>
  </si>
  <si>
    <t>14</t>
  </si>
  <si>
    <t>2021-01-22</t>
  </si>
  <si>
    <t>LAC</t>
  </si>
  <si>
    <t>106</t>
  </si>
  <si>
    <t>120</t>
  </si>
  <si>
    <t>.769</t>
  </si>
  <si>
    <t>.512</t>
  </si>
  <si>
    <t>.303</t>
  </si>
  <si>
    <t>.960</t>
  </si>
  <si>
    <t>2021-01-16</t>
  </si>
  <si>
    <t>MEM</t>
  </si>
  <si>
    <t>104</t>
  </si>
  <si>
    <t>.440</t>
  </si>
  <si>
    <t>.280</t>
  </si>
  <si>
    <t>.719</t>
  </si>
  <si>
    <t>A3P</t>
  </si>
  <si>
    <t>2021-01-24</t>
  </si>
  <si>
    <t>.200</t>
  </si>
  <si>
    <t>.643</t>
  </si>
  <si>
    <t>.446</t>
  </si>
  <si>
    <t>.304</t>
  </si>
  <si>
    <t>2021-01-20</t>
  </si>
  <si>
    <t>BOS</t>
  </si>
  <si>
    <t>117</t>
  </si>
  <si>
    <t>.800</t>
  </si>
  <si>
    <t>.472</t>
  </si>
  <si>
    <t>.650</t>
  </si>
  <si>
    <t>Home Offensive Rebounding %:</t>
  </si>
  <si>
    <t>2021-01-25</t>
  </si>
  <si>
    <t>POR</t>
  </si>
  <si>
    <t>40</t>
  </si>
  <si>
    <t>.450</t>
  </si>
  <si>
    <t>.469</t>
  </si>
  <si>
    <t>.341</t>
  </si>
  <si>
    <t>.762</t>
  </si>
  <si>
    <t>.429</t>
  </si>
  <si>
    <t>.456</t>
  </si>
  <si>
    <t>.400</t>
  </si>
  <si>
    <t>eFG% Diffferential:</t>
  </si>
  <si>
    <t>AFGA</t>
  </si>
  <si>
    <t>2021-01-27</t>
  </si>
  <si>
    <t>PHO</t>
  </si>
  <si>
    <t>97</t>
  </si>
  <si>
    <t>.447</t>
  </si>
  <si>
    <t>.714</t>
  </si>
  <si>
    <t>.379</t>
  </si>
  <si>
    <t>.349</t>
  </si>
  <si>
    <t>2021-01-23</t>
  </si>
  <si>
    <t>DET</t>
  </si>
  <si>
    <t>114</t>
  </si>
  <si>
    <t>.458</t>
  </si>
  <si>
    <t>.348</t>
  </si>
  <si>
    <t>.424</t>
  </si>
  <si>
    <t>.733</t>
  </si>
  <si>
    <t>Defensive ORB%:</t>
  </si>
  <si>
    <t>2021-01-29</t>
  </si>
  <si>
    <t>147</t>
  </si>
  <si>
    <t>.421</t>
  </si>
  <si>
    <t>.853</t>
  </si>
  <si>
    <t>.570</t>
  </si>
  <si>
    <t>.422</t>
  </si>
  <si>
    <t>.875</t>
  </si>
  <si>
    <t>.426</t>
  </si>
  <si>
    <t>.321</t>
  </si>
  <si>
    <t>.842</t>
  </si>
  <si>
    <t>TO% Differential:</t>
  </si>
  <si>
    <t>2021-02-01</t>
  </si>
  <si>
    <t>HOU</t>
  </si>
  <si>
    <t>.382</t>
  </si>
  <si>
    <t>.480</t>
  </si>
  <si>
    <t>52</t>
  </si>
  <si>
    <t>.538</t>
  </si>
  <si>
    <t>.482</t>
  </si>
  <si>
    <t>.360</t>
  </si>
  <si>
    <t>.477</t>
  </si>
  <si>
    <t>.640</t>
  </si>
  <si>
    <t>Away ORB%:</t>
  </si>
  <si>
    <t>2021-02-03</t>
  </si>
  <si>
    <t>87</t>
  </si>
  <si>
    <t>.846</t>
  </si>
  <si>
    <t>.384</t>
  </si>
  <si>
    <t>.261</t>
  </si>
  <si>
    <t>.692</t>
  </si>
  <si>
    <t>MIN</t>
  </si>
  <si>
    <t>.448</t>
  </si>
  <si>
    <t>.427</t>
  </si>
  <si>
    <t>ORB% Differential:</t>
  </si>
  <si>
    <t>2021-02-05</t>
  </si>
  <si>
    <t>.706</t>
  </si>
  <si>
    <t>.436</t>
  </si>
  <si>
    <t>.889</t>
  </si>
  <si>
    <t>2021-01-31</t>
  </si>
  <si>
    <t>IND</t>
  </si>
  <si>
    <t>.489</t>
  </si>
  <si>
    <t>.308</t>
  </si>
  <si>
    <t>.677</t>
  </si>
  <si>
    <t>.488</t>
  </si>
  <si>
    <t>.357</t>
  </si>
  <si>
    <t>.818</t>
  </si>
  <si>
    <t>2021-02-06</t>
  </si>
  <si>
    <t>.511</t>
  </si>
  <si>
    <t>.505</t>
  </si>
  <si>
    <t>.545</t>
  </si>
  <si>
    <t>.519</t>
  </si>
  <si>
    <t>.826</t>
  </si>
  <si>
    <t>FL% Differential:</t>
  </si>
  <si>
    <t>2021-02-08</t>
  </si>
  <si>
    <t>.316</t>
  </si>
  <si>
    <t>.463</t>
  </si>
  <si>
    <t>.237</t>
  </si>
  <si>
    <t>.759</t>
  </si>
  <si>
    <t>2021-02-04</t>
  </si>
  <si>
    <t>105</t>
  </si>
  <si>
    <t>121</t>
  </si>
  <si>
    <t>.259</t>
  </si>
  <si>
    <t>Home Foul Line %:</t>
  </si>
  <si>
    <t>2021-02-10</t>
  </si>
  <si>
    <t>.470</t>
  </si>
  <si>
    <t>.226</t>
  </si>
  <si>
    <t>124</t>
  </si>
  <si>
    <t>.443</t>
  </si>
  <si>
    <t>.366</t>
  </si>
  <si>
    <t>.882</t>
  </si>
  <si>
    <t>HTO</t>
  </si>
  <si>
    <t>2021-02-12</t>
  </si>
  <si>
    <t>95</t>
  </si>
  <si>
    <t>.765</t>
  </si>
  <si>
    <t>.700</t>
  </si>
  <si>
    <t>2021-02-09</t>
  </si>
  <si>
    <t>SAC</t>
  </si>
  <si>
    <t>.579</t>
  </si>
  <si>
    <t>Defensive FL%:</t>
  </si>
  <si>
    <t>2021-02-14</t>
  </si>
  <si>
    <t>MIL</t>
  </si>
  <si>
    <t>.474</t>
  </si>
  <si>
    <t>.563</t>
  </si>
  <si>
    <t>.464</t>
  </si>
  <si>
    <t>.342</t>
  </si>
  <si>
    <t>2021-02-11</t>
  </si>
  <si>
    <t>.828</t>
  </si>
  <si>
    <t>.913</t>
  </si>
  <si>
    <t>Point Differential:</t>
  </si>
  <si>
    <t>HOR</t>
  </si>
  <si>
    <t>2021-02-16</t>
  </si>
  <si>
    <t>.435</t>
  </si>
  <si>
    <t>.741</t>
  </si>
  <si>
    <t>47</t>
  </si>
  <si>
    <t>.647</t>
  </si>
  <si>
    <t>2021-02-13</t>
  </si>
  <si>
    <t>.521</t>
  </si>
  <si>
    <t>.412</t>
  </si>
  <si>
    <t>.608</t>
  </si>
  <si>
    <t>.824</t>
  </si>
  <si>
    <t>Away FL%:</t>
  </si>
  <si>
    <t>2021-02-17</t>
  </si>
  <si>
    <t>.449</t>
  </si>
  <si>
    <t>.788</t>
  </si>
  <si>
    <t>2021-02-15</t>
  </si>
  <si>
    <t>123</t>
  </si>
  <si>
    <t>.523</t>
  </si>
  <si>
    <t>.839</t>
  </si>
  <si>
    <t>HFTA</t>
  </si>
  <si>
    <t>2021-02-19</t>
  </si>
  <si>
    <t>85</t>
  </si>
  <si>
    <t>98</t>
  </si>
  <si>
    <t>.365</t>
  </si>
  <si>
    <t>.300</t>
  </si>
  <si>
    <t>.524</t>
  </si>
  <si>
    <t>.407</t>
  </si>
  <si>
    <t>.680</t>
  </si>
  <si>
    <t>.319</t>
  </si>
  <si>
    <t>2021-02-21</t>
  </si>
  <si>
    <t>.229</t>
  </si>
  <si>
    <t>.219</t>
  </si>
  <si>
    <t>1.000</t>
  </si>
  <si>
    <t>DTO</t>
  </si>
  <si>
    <t>2021-02-22</t>
  </si>
  <si>
    <t>.359</t>
  </si>
  <si>
    <t>.444</t>
  </si>
  <si>
    <t>.840</t>
  </si>
  <si>
    <t>.388</t>
  </si>
  <si>
    <t>.297</t>
  </si>
  <si>
    <t>2021-02-24</t>
  </si>
  <si>
    <t>.416</t>
  </si>
  <si>
    <t>.409</t>
  </si>
  <si>
    <t>2021-02-23</t>
  </si>
  <si>
    <t>DOR</t>
  </si>
  <si>
    <t>2021-02-26</t>
  </si>
  <si>
    <t>2021-02-25</t>
  </si>
  <si>
    <t>DAL</t>
  </si>
  <si>
    <t>.433</t>
  </si>
  <si>
    <t>.414</t>
  </si>
  <si>
    <t>.410</t>
  </si>
  <si>
    <t>.870</t>
  </si>
  <si>
    <t>2021-02-27</t>
  </si>
  <si>
    <t>96</t>
  </si>
  <si>
    <t>126</t>
  </si>
  <si>
    <t>.420</t>
  </si>
  <si>
    <t>.234</t>
  </si>
  <si>
    <t>.551</t>
  </si>
  <si>
    <t>.657</t>
  </si>
  <si>
    <t>.423</t>
  </si>
  <si>
    <t>DFTA</t>
  </si>
  <si>
    <t>2021-03-03</t>
  </si>
  <si>
    <t>78</t>
  </si>
  <si>
    <t>.231</t>
  </si>
  <si>
    <t>2021-03-01</t>
  </si>
  <si>
    <t>130</t>
  </si>
  <si>
    <t>.938</t>
  </si>
  <si>
    <t>2021-03-04</t>
  </si>
  <si>
    <t>.808</t>
  </si>
  <si>
    <t>131</t>
  </si>
  <si>
    <t>.516</t>
  </si>
  <si>
    <t>.320</t>
  </si>
  <si>
    <t>.771</t>
  </si>
  <si>
    <t>ATO</t>
  </si>
  <si>
    <t>2021-03-11</t>
  </si>
  <si>
    <t>.451</t>
  </si>
  <si>
    <t>.441</t>
  </si>
  <si>
    <t>.515</t>
  </si>
  <si>
    <t>.483</t>
  </si>
  <si>
    <t>2021-03-13</t>
  </si>
  <si>
    <t>.487</t>
  </si>
  <si>
    <t>2021-03-12</t>
  </si>
  <si>
    <t>.591</t>
  </si>
  <si>
    <t>AOR</t>
  </si>
  <si>
    <t>2021-03-14</t>
  </si>
  <si>
    <t>.575</t>
  </si>
  <si>
    <t>.724</t>
  </si>
  <si>
    <t>.571</t>
  </si>
  <si>
    <t>.517</t>
  </si>
  <si>
    <t>.636</t>
  </si>
  <si>
    <t>.190</t>
  </si>
  <si>
    <t>.742</t>
  </si>
  <si>
    <t>2021-03-16</t>
  </si>
  <si>
    <t>.467</t>
  </si>
  <si>
    <t>.350</t>
  </si>
  <si>
    <t>.411</t>
  </si>
  <si>
    <t>AFTA</t>
  </si>
  <si>
    <t>2021-03-18</t>
  </si>
  <si>
    <t>.540</t>
  </si>
  <si>
    <t>2021-03-17</t>
  </si>
  <si>
    <t>.394</t>
  </si>
  <si>
    <t>2021-03-21</t>
  </si>
  <si>
    <t>.368</t>
  </si>
  <si>
    <t>2021-03-20</t>
  </si>
  <si>
    <t>.558</t>
  </si>
  <si>
    <t>.478</t>
  </si>
  <si>
    <t>.630</t>
  </si>
  <si>
    <t>2021-03-22</t>
  </si>
  <si>
    <t>.722</t>
  </si>
  <si>
    <t>.609</t>
  </si>
  <si>
    <t>.565</t>
  </si>
  <si>
    <t>2021-03-24</t>
  </si>
  <si>
    <t>.453</t>
  </si>
  <si>
    <t>.475</t>
  </si>
  <si>
    <t>2021-03-23</t>
  </si>
  <si>
    <t>GSW</t>
  </si>
  <si>
    <t>.292</t>
  </si>
  <si>
    <t>2021-03-27</t>
  </si>
  <si>
    <t>.289</t>
  </si>
  <si>
    <t>2021-03-25</t>
  </si>
  <si>
    <t>2021-03-29</t>
  </si>
  <si>
    <t>.531</t>
  </si>
  <si>
    <t>.529</t>
  </si>
  <si>
    <t>2021-03-31</t>
  </si>
  <si>
    <t>.389</t>
  </si>
  <si>
    <t>.850</t>
  </si>
  <si>
    <t>2021-03-30</t>
  </si>
  <si>
    <t>.933</t>
  </si>
  <si>
    <t>.387</t>
  </si>
  <si>
    <t>2021-04-02</t>
  </si>
  <si>
    <t>140</t>
  </si>
  <si>
    <t>.393</t>
  </si>
  <si>
    <t>.810</t>
  </si>
  <si>
    <t>2021-04-01</t>
  </si>
  <si>
    <t>.760</t>
  </si>
  <si>
    <t>.425</t>
  </si>
  <si>
    <t>HDDR</t>
  </si>
  <si>
    <t>49</t>
  </si>
  <si>
    <t>2021-04-03</t>
  </si>
  <si>
    <t>133</t>
  </si>
  <si>
    <t>.235</t>
  </si>
  <si>
    <t>.757</t>
  </si>
  <si>
    <t>.861</t>
  </si>
  <si>
    <t>50</t>
  </si>
  <si>
    <t>2021-04-05</t>
  </si>
  <si>
    <t>132</t>
  </si>
  <si>
    <t>.185</t>
  </si>
  <si>
    <t>2021-04-04</t>
  </si>
  <si>
    <t>DR</t>
  </si>
  <si>
    <t>51</t>
  </si>
  <si>
    <t>2021-04-07</t>
  </si>
  <si>
    <t>.390</t>
  </si>
  <si>
    <t>2021-04-06</t>
  </si>
  <si>
    <t>.744</t>
  </si>
  <si>
    <t>2021-04-08</t>
  </si>
  <si>
    <t>.351</t>
  </si>
  <si>
    <t>2021-04-09</t>
  </si>
  <si>
    <t>.633</t>
  </si>
  <si>
    <t>ADDR</t>
  </si>
  <si>
    <t>HFTM</t>
  </si>
  <si>
    <t>DFTM</t>
  </si>
  <si>
    <t>AFTM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</si>
</sst>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\+0.0;\-0.0;0.0"/>
    <numFmt numFmtId="165" formatCode="\+0.000;\-0.000;0.000"/>
  </numFmts>
  <fonts count="3">
    <font>
      <sz val="11.0"/>
      <color theme="1"/>
      <name val="Calibri"/>
      <scheme val="minor"/>
    </font>
    <font>
      <b/>
      <sz val="11.0"/>
      <color theme="1"/>
      <name val="Calibri"/>
      <scheme val="minor"/>
    </font>
    <font>
      <u/>
      <sz val="11.0"/>
      <color theme="1"/>
    </font>
  </fonts>
  <fills count="14">
    <fill>
      <patternFill patternType="none"/>
    </fill>
    <fill>
      <patternFill patternType="lightGray"/>
    </fill>
    <fill>
      <patternFill patternType="solid">
        <fgColor rgb="FFB4C6E7"/>
        <bgColor rgb="FFB4C6E7"/>
      </patternFill>
    </fill>
    <fill>
      <patternFill patternType="solid">
        <fgColor rgb="FFF7CAAC"/>
        <bgColor rgb="FFF7CAAC"/>
      </patternFill>
    </fill>
    <fill>
      <patternFill patternType="solid">
        <fgColor rgb="FF8EAADB"/>
        <bgColor rgb="FF8EAADB"/>
      </patternFill>
    </fill>
    <fill>
      <patternFill patternType="solid">
        <fgColor rgb="FFF4B083"/>
        <bgColor rgb="FFF4B083"/>
      </patternFill>
    </fill>
    <fill>
      <patternFill patternType="solid">
        <fgColor rgb="FFFF9999"/>
        <bgColor rgb="FFFF9999"/>
      </patternFill>
    </fill>
    <fill>
      <patternFill patternType="solid">
        <fgColor rgb="FFD9E2F3"/>
        <bgColor rgb="FFD9E2F3"/>
      </patternFill>
    </fill>
    <fill>
      <patternFill patternType="solid">
        <fgColor rgb="FFECECEC"/>
        <bgColor rgb="FFECECEC"/>
      </patternFill>
    </fill>
    <fill>
      <patternFill patternType="solid">
        <fgColor rgb="FFFBE4D5"/>
        <bgColor rgb="FFFBE4D5"/>
      </patternFill>
    </fill>
    <fill>
      <patternFill patternType="solid">
        <fgColor rgb="FFFFE598"/>
        <bgColor rgb="FFFFE598"/>
      </patternFill>
    </fill>
    <fill>
      <patternFill patternType="solid">
        <fgColor rgb="FFFEF2CB"/>
        <bgColor rgb="FFFEF2CB"/>
      </patternFill>
    </fill>
    <fill>
      <patternFill patternType="solid">
        <fgColor rgb="FFC5E0B3"/>
        <bgColor rgb="FFC5E0B3"/>
      </patternFill>
    </fill>
    <fill>
      <patternFill patternType="solid">
        <fgColor rgb="FFE2EFD9"/>
        <bgColor rgb="FFE2EFD9"/>
      </patternFill>
    </fill>
  </fills>
  <borders count="9">
    <border/>
    <border>
      <left style="thin">
        <color rgb="FF000000"/>
      </left>
      <right style="thin">
        <color rgb="FF000000"/>
      </right>
      <top style="thin">
        <color rgb="FF000000"/>
      </top>
      <bottom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/>
      <right/>
      <top/>
      <bottom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/>
      <bottom/>
    </border>
    <border>
      <left style="thin">
        <color rgb="FF000000"/>
      </left>
      <right style="thin">
        <color rgb="FF000000"/>
      </right>
      <top/>
      <bottom style="thin">
        <color rgb="FF000000"/>
      </bottom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/>
      <bottom style="medium">
        <color rgb="FF000000"/>
      </bottom>
    </border>
  </borders>
  <cellStyleXfs count="1">
    <xf borderId="0" fillId="0" fontId="0" numFmtId="0" applyAlignment="1" applyFont="1"/>
  </cellStyleXfs>
  <cellXfs count="35">
    <xf borderId="0" fillId="0" fontId="0" numFmtId="0" xfId="0" applyAlignment="1" applyFont="1">
      <alignment readingOrder="0" shrinkToFit="0" vertical="bottom" wrapText="0"/>
    </xf>
    <xf borderId="0" fillId="0" fontId="0" numFmtId="0" xfId="0" applyAlignment="1" applyFont="1">
      <alignment horizontal="right"/>
    </xf>
    <xf borderId="1" fillId="2" fontId="1" numFmtId="0" xfId="0" applyBorder="1" applyFill="1" applyFont="1"/>
    <xf borderId="2" fillId="2" fontId="0" numFmtId="0" xfId="0" applyAlignment="1" applyBorder="1" applyFont="1">
      <alignment horizontal="center"/>
    </xf>
    <xf borderId="2" fillId="3" fontId="0" numFmtId="0" xfId="0" applyAlignment="1" applyBorder="1" applyFill="1" applyFont="1">
      <alignment horizontal="center"/>
    </xf>
    <xf borderId="0" fillId="0" fontId="0" numFmtId="0" xfId="0" applyFont="1"/>
    <xf borderId="3" fillId="4" fontId="0" numFmtId="0" xfId="0" applyBorder="1" applyFill="1" applyFont="1"/>
    <xf borderId="3" fillId="4" fontId="0" numFmtId="2" xfId="0" applyBorder="1" applyFont="1" applyNumberFormat="1"/>
    <xf borderId="3" fillId="5" fontId="0" numFmtId="0" xfId="0" applyBorder="1" applyFill="1" applyFont="1"/>
    <xf borderId="4" fillId="6" fontId="1" numFmtId="0" xfId="0" applyAlignment="1" applyBorder="1" applyFill="1" applyFont="1">
      <alignment horizontal="center" vertical="center"/>
    </xf>
    <xf borderId="5" fillId="7" fontId="0" numFmtId="10" xfId="0" applyBorder="1" applyFill="1" applyFont="1" applyNumberFormat="1"/>
    <xf borderId="2" fillId="7" fontId="0" numFmtId="0" xfId="0" applyAlignment="1" applyBorder="1" applyFont="1">
      <alignment horizontal="left"/>
    </xf>
    <xf borderId="2" fillId="7" fontId="0" numFmtId="0" xfId="0" applyAlignment="1" applyBorder="1" applyFont="1">
      <alignment horizontal="center"/>
    </xf>
    <xf borderId="0" fillId="0" fontId="0" numFmtId="0" xfId="0" applyFont="1"/>
    <xf borderId="5" fillId="2" fontId="1" numFmtId="0" xfId="0" applyBorder="1" applyFont="1"/>
    <xf borderId="6" fillId="7" fontId="0" numFmtId="10" xfId="0" applyBorder="1" applyFont="1" applyNumberFormat="1"/>
    <xf borderId="6" fillId="7" fontId="0" numFmtId="0" xfId="0" applyBorder="1" applyFont="1"/>
    <xf borderId="5" fillId="3" fontId="1" numFmtId="0" xfId="0" applyBorder="1" applyFont="1"/>
    <xf borderId="1" fillId="8" fontId="1" numFmtId="0" xfId="0" applyBorder="1" applyFill="1" applyFont="1"/>
    <xf borderId="5" fillId="9" fontId="0" numFmtId="10" xfId="0" applyBorder="1" applyFill="1" applyFont="1" applyNumberFormat="1"/>
    <xf borderId="7" fillId="0" fontId="2" numFmtId="0" xfId="0" applyBorder="1" applyFont="1"/>
    <xf borderId="8" fillId="9" fontId="0" numFmtId="10" xfId="0" applyBorder="1" applyFont="1" applyNumberFormat="1"/>
    <xf borderId="1" fillId="3" fontId="1" numFmtId="0" xfId="0" applyBorder="1" applyFont="1"/>
    <xf borderId="6" fillId="9" fontId="0" numFmtId="0" xfId="0" applyBorder="1" applyFont="1"/>
    <xf borderId="1" fillId="10" fontId="1" numFmtId="0" xfId="0" applyBorder="1" applyFill="1" applyFont="1"/>
    <xf borderId="2" fillId="9" fontId="0" numFmtId="0" xfId="0" applyAlignment="1" applyBorder="1" applyFont="1">
      <alignment horizontal="left"/>
    </xf>
    <xf borderId="2" fillId="9" fontId="0" numFmtId="0" xfId="0" applyAlignment="1" applyBorder="1" applyFont="1">
      <alignment horizontal="center"/>
    </xf>
    <xf borderId="6" fillId="11" fontId="0" numFmtId="164" xfId="0" applyBorder="1" applyFill="1" applyFont="1" applyNumberFormat="1"/>
    <xf borderId="1" fillId="12" fontId="1" numFmtId="0" xfId="0" applyBorder="1" applyFill="1" applyFont="1"/>
    <xf borderId="6" fillId="13" fontId="0" numFmtId="165" xfId="0" applyBorder="1" applyFill="1" applyFont="1" applyNumberFormat="1"/>
    <xf borderId="5" fillId="12" fontId="1" numFmtId="0" xfId="0" applyBorder="1" applyFont="1"/>
    <xf borderId="6" fillId="9" fontId="0" numFmtId="10" xfId="0" applyBorder="1" applyFont="1" applyNumberFormat="1"/>
    <xf borderId="0" fillId="0" fontId="0" numFmtId="2" xfId="0" applyFont="1" applyNumberFormat="1"/>
    <xf borderId="0" fillId="0" fontId="0" numFmtId="0" xfId="0" applyAlignment="1" applyFont="1">
      <alignment horizontal="left"/>
    </xf>
    <xf borderId="0" fillId="0" fontId="0" numFmtId="0" xfId="0" applyAlignment="1" applyFont="1">
      <alignment horizontal="center"/>
    </xf>
  </cellXfs>
  <cellStyles count="1">
    <cellStyle xfId="0" name="Normal" builtinId="0"/>
  </cellStyles>
  <dxfs count="6">
    <dxf>
      <font/>
      <fill>
        <patternFill patternType="none"/>
      </fill>
      <border/>
    </dxf>
    <dxf>
      <font/>
      <fill>
        <patternFill patternType="solid">
          <fgColor theme="0"/>
          <bgColor theme="0"/>
        </patternFill>
      </fill>
      <border/>
    </dxf>
    <dxf>
      <font/>
      <fill>
        <patternFill patternType="solid">
          <fgColor rgb="FFB4C6E7"/>
          <bgColor rgb="FFB4C6E7"/>
        </patternFill>
      </fill>
      <border/>
    </dxf>
    <dxf>
      <font/>
      <fill>
        <patternFill patternType="solid">
          <fgColor rgb="FFD9E2F3"/>
          <bgColor rgb="FFD9E2F3"/>
        </patternFill>
      </fill>
      <border/>
    </dxf>
    <dxf>
      <font/>
      <fill>
        <patternFill patternType="solid">
          <fgColor rgb="FFF7CAAC"/>
          <bgColor rgb="FFF7CAAC"/>
        </patternFill>
      </fill>
      <border/>
    </dxf>
    <dxf>
      <font/>
      <fill>
        <patternFill patternType="solid">
          <fgColor rgb="FFFBE4D5"/>
          <bgColor rgb="FFFBE4D5"/>
        </patternFill>
      </fill>
      <border/>
    </dxf>
  </dxfs>
  <tableStyles count="2">
    <tableStyle count="3" pivot="0" name="Sheet1-style">
      <tableStyleElement dxfId="1" type="headerRow"/>
      <tableStyleElement dxfId="2" type="firstRowStripe"/>
      <tableStyleElement dxfId="3" type="secondRowStripe"/>
    </tableStyle>
    <tableStyle count="3" pivot="0" name="Sheet1-style 2">
      <tableStyleElement dxfId="1" type="headerRow"/>
      <tableStyleElement dxfId="4" type="firstRowStripe"/>
      <tableStyleElement dxfId="5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H1:AV53" displayName="Table_1" name="Table_1" id="1">
  <tableColumns count="41">
    <tableColumn name="G" id="1"/>
    <tableColumn name="Date" id="2"/>
    <tableColumn name="Column1" id="3"/>
    <tableColumn name="Opp" id="4"/>
    <tableColumn name="W/L" id="5"/>
    <tableColumn name="Tm" id="6"/>
    <tableColumn name="Opp2" id="7"/>
    <tableColumn name="Team FG" id="8"/>
    <tableColumn name="Team FGA" id="9"/>
    <tableColumn name="Team FG%" id="10"/>
    <tableColumn name="Team 3P" id="11"/>
    <tableColumn name="Team 3PA" id="12"/>
    <tableColumn name="Team 3P%" id="13"/>
    <tableColumn name="Team FT" id="14"/>
    <tableColumn name="Team FTA" id="15"/>
    <tableColumn name="Team FT%" id="16"/>
    <tableColumn name="Team ORB" id="17"/>
    <tableColumn name="Team TRB" id="18"/>
    <tableColumn name="Team AST" id="19"/>
    <tableColumn name="Team STL" id="20"/>
    <tableColumn name="Team BLK" id="21"/>
    <tableColumn name="Team TOV" id="22"/>
    <tableColumn name="Team PF" id="23"/>
    <tableColumn name="Opponent FG" id="24"/>
    <tableColumn name="Opponent FGA" id="25"/>
    <tableColumn name="Opponent FG%" id="26"/>
    <tableColumn name="Opponent 3P" id="27"/>
    <tableColumn name="Opponent 3PA" id="28"/>
    <tableColumn name="Opponent 3P%" id="29"/>
    <tableColumn name="Opponent FT" id="30"/>
    <tableColumn name="Opponent FTA" id="31"/>
    <tableColumn name="Opponent FT%" id="32"/>
    <tableColumn name="Opponent ORB" id="33"/>
    <tableColumn name="Opponent TRB" id="34"/>
    <tableColumn name="Opponent AST" id="35"/>
    <tableColumn name="Opponent STL" id="36"/>
    <tableColumn name="Opponent BLK" id="37"/>
    <tableColumn name="Opponent TOV" id="38"/>
    <tableColumn name="Opponent PF" id="39"/>
    <tableColumn name="Team DRB" id="40"/>
    <tableColumn name="Opponent DRB" id="41"/>
  </tableColumns>
  <tableStyleInfo name="Sheet1-style" showColumnStripes="0" showFirstColumn="1" showLastColumn="1" showRowStripes="1"/>
</table>
</file>

<file path=xl/tables/table2.xml><?xml version="1.0" encoding="utf-8"?>
<table xmlns="http://schemas.openxmlformats.org/spreadsheetml/2006/main" ref="AX1:CL53" displayName="Table_2" name="Table_2" id="2">
  <tableColumns count="41">
    <tableColumn name="G" id="1"/>
    <tableColumn name="Date" id="2"/>
    <tableColumn name="Column1" id="3"/>
    <tableColumn name="Opp" id="4"/>
    <tableColumn name="W/L" id="5"/>
    <tableColumn name="Tm" id="6"/>
    <tableColumn name="Opp2" id="7"/>
    <tableColumn name="Team FG" id="8"/>
    <tableColumn name="Team FGA" id="9"/>
    <tableColumn name="Team FG%" id="10"/>
    <tableColumn name="Team 3P" id="11"/>
    <tableColumn name="Team 3PA" id="12"/>
    <tableColumn name="Team 3P%" id="13"/>
    <tableColumn name="Team FT" id="14"/>
    <tableColumn name="Team FTA" id="15"/>
    <tableColumn name="Team FT%" id="16"/>
    <tableColumn name="Team ORB" id="17"/>
    <tableColumn name="Team TRB" id="18"/>
    <tableColumn name="Team AST" id="19"/>
    <tableColumn name="Team STL" id="20"/>
    <tableColumn name="Team BLK" id="21"/>
    <tableColumn name="Team TOV" id="22"/>
    <tableColumn name="Team PF" id="23"/>
    <tableColumn name="Opponent FG" id="24"/>
    <tableColumn name="Opponent FGA" id="25"/>
    <tableColumn name="Opponent FG%" id="26"/>
    <tableColumn name="Opponent 3P" id="27"/>
    <tableColumn name="Opponent 3PA" id="28"/>
    <tableColumn name="Opponent 3P%" id="29"/>
    <tableColumn name="Opponent FT" id="30"/>
    <tableColumn name="Opponent FTA" id="31"/>
    <tableColumn name="Opponent FT%" id="32"/>
    <tableColumn name="Opponent ORB" id="33"/>
    <tableColumn name="Opponent TRB" id="34"/>
    <tableColumn name="Opponent AST" id="35"/>
    <tableColumn name="Opponent STL" id="36"/>
    <tableColumn name="Opponent BLK" id="37"/>
    <tableColumn name="Opponent TOV" id="38"/>
    <tableColumn name="Opponent PF" id="39"/>
    <tableColumn name="Team DRB" id="40"/>
    <tableColumn name="Opponent DRB" id="41"/>
  </tableColumns>
  <tableStyleInfo name="Sheet1-style 2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Relationship Id="rId5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56.0"/>
    <col customWidth="1" min="2" max="2" width="9.0"/>
    <col customWidth="1" min="3" max="3" width="26.71"/>
    <col customWidth="1" min="4" max="4" width="9.0"/>
    <col customWidth="1" min="5" max="5" width="7.14"/>
    <col customWidth="1" min="6" max="6" width="6.0"/>
    <col customWidth="1" min="7" max="7" width="9.0"/>
    <col customWidth="1" min="8" max="8" width="2.71"/>
    <col customWidth="1" min="9" max="9" width="10.0"/>
    <col customWidth="1" min="10" max="10" width="8.0"/>
    <col customWidth="1" min="11" max="11" width="5.0"/>
    <col customWidth="1" min="12" max="12" width="4.14"/>
    <col customWidth="1" min="13" max="13" width="3.71"/>
    <col customWidth="1" min="14" max="14" width="5.14"/>
    <col customWidth="1" min="15" max="15" width="7.71"/>
    <col customWidth="1" min="16" max="16" width="9.0"/>
    <col customWidth="1" min="17" max="17" width="9.14"/>
    <col customWidth="1" min="18" max="18" width="7.71"/>
    <col customWidth="1" min="19" max="19" width="8.86"/>
    <col customWidth="1" min="20" max="20" width="9.14"/>
    <col customWidth="1" min="21" max="21" width="7.43"/>
    <col customWidth="1" min="22" max="22" width="8.71"/>
    <col customWidth="1" min="23" max="23" width="8.86"/>
    <col customWidth="1" min="24" max="24" width="9.14"/>
    <col customWidth="1" min="25" max="25" width="8.86"/>
    <col customWidth="1" min="26" max="26" width="8.71"/>
    <col customWidth="1" min="27" max="27" width="8.29"/>
    <col customWidth="1" min="28" max="28" width="8.71"/>
    <col customWidth="1" min="29" max="29" width="9.0"/>
    <col customWidth="1" min="30" max="30" width="7.57"/>
    <col customWidth="1" min="31" max="31" width="11.57"/>
    <col customWidth="1" min="32" max="32" width="12.71"/>
    <col customWidth="1" min="33" max="33" width="13.0"/>
    <col customWidth="1" min="34" max="34" width="11.43"/>
    <col customWidth="1" min="35" max="35" width="12.71"/>
    <col customWidth="1" min="36" max="36" width="13.0"/>
    <col customWidth="1" min="37" max="37" width="11.29"/>
    <col customWidth="1" min="38" max="38" width="12.43"/>
    <col customWidth="1" min="39" max="39" width="12.71"/>
    <col customWidth="1" min="40" max="40" width="13.0"/>
    <col customWidth="1" min="41" max="41" width="12.57"/>
    <col customWidth="1" min="42" max="42" width="12.43"/>
    <col customWidth="1" min="43" max="43" width="12.14"/>
    <col customWidth="1" min="44" max="44" width="12.43"/>
    <col customWidth="1" min="45" max="45" width="12.86"/>
    <col customWidth="1" min="46" max="46" width="11.29"/>
    <col customWidth="1" min="47" max="47" width="9.14"/>
    <col customWidth="1" min="48" max="48" width="13.0"/>
    <col customWidth="1" min="49" max="49" width="9.0"/>
    <col customWidth="1" min="50" max="50" width="2.71"/>
    <col customWidth="1" min="51" max="51" width="10.0"/>
    <col customWidth="1" min="52" max="52" width="8.0"/>
    <col customWidth="1" min="53" max="53" width="5.0"/>
    <col customWidth="1" min="54" max="54" width="4.14"/>
    <col customWidth="1" min="55" max="55" width="3.71"/>
    <col customWidth="1" min="56" max="56" width="5.14"/>
    <col customWidth="1" min="57" max="57" width="7.71"/>
    <col customWidth="1" min="58" max="58" width="9.0"/>
    <col customWidth="1" min="59" max="59" width="9.14"/>
    <col customWidth="1" min="60" max="60" width="7.71"/>
    <col customWidth="1" min="61" max="61" width="8.86"/>
    <col customWidth="1" min="62" max="62" width="9.14"/>
    <col customWidth="1" min="63" max="63" width="7.43"/>
    <col customWidth="1" min="64" max="64" width="8.71"/>
    <col customWidth="1" min="65" max="65" width="8.86"/>
    <col customWidth="1" min="66" max="66" width="9.14"/>
    <col customWidth="1" min="67" max="67" width="8.86"/>
    <col customWidth="1" min="68" max="68" width="8.71"/>
    <col customWidth="1" min="69" max="69" width="8.29"/>
    <col customWidth="1" min="70" max="70" width="8.71"/>
    <col customWidth="1" min="71" max="71" width="9.0"/>
    <col customWidth="1" min="72" max="72" width="7.57"/>
    <col customWidth="1" min="73" max="73" width="11.57"/>
    <col customWidth="1" min="74" max="74" width="12.71"/>
    <col customWidth="1" min="75" max="75" width="13.0"/>
    <col customWidth="1" min="76" max="76" width="11.43"/>
    <col customWidth="1" min="77" max="77" width="12.71"/>
    <col customWidth="1" min="78" max="78" width="13.0"/>
    <col customWidth="1" min="79" max="79" width="11.29"/>
    <col customWidth="1" min="80" max="80" width="12.43"/>
    <col customWidth="1" min="81" max="81" width="12.71"/>
    <col customWidth="1" min="82" max="82" width="13.0"/>
    <col customWidth="1" min="83" max="83" width="12.57"/>
    <col customWidth="1" min="84" max="84" width="12.43"/>
    <col customWidth="1" min="85" max="85" width="12.14"/>
    <col customWidth="1" min="86" max="86" width="12.43"/>
    <col customWidth="1" min="87" max="87" width="12.86"/>
    <col customWidth="1" min="88" max="88" width="11.29"/>
    <col customWidth="1" min="89" max="89" width="9.14"/>
    <col customWidth="1" min="90" max="90" width="13.0"/>
  </cols>
  <sheetData>
    <row r="1" ht="14.25" customHeight="1">
      <c r="B1" s="1"/>
      <c r="C1" s="2" t="s">
        <v>0</v>
      </c>
      <c r="D1" s="1"/>
      <c r="E1" s="3">
        <f>LOOKUP(2,1/(H:H&lt;&gt;""),ROW(H:H))</f>
        <v>1</v>
      </c>
      <c r="F1" s="4">
        <f>LOOKUP(2,1/(AX:AX&lt;&gt;""),ROW(AX:AX))</f>
        <v>1</v>
      </c>
      <c r="G1" s="5"/>
      <c r="H1" s="6" t="s">
        <v>1</v>
      </c>
      <c r="I1" s="6" t="s">
        <v>2</v>
      </c>
      <c r="J1" s="6" t="s">
        <v>3</v>
      </c>
      <c r="K1" s="6" t="s">
        <v>4</v>
      </c>
      <c r="L1" s="6" t="s">
        <v>5</v>
      </c>
      <c r="M1" s="6" t="s">
        <v>6</v>
      </c>
      <c r="N1" s="6" t="s">
        <v>7</v>
      </c>
      <c r="O1" s="7" t="s">
        <v>8</v>
      </c>
      <c r="P1" s="6" t="s">
        <v>9</v>
      </c>
      <c r="Q1" s="6" t="s">
        <v>10</v>
      </c>
      <c r="R1" s="6" t="s">
        <v>11</v>
      </c>
      <c r="S1" s="6" t="s">
        <v>12</v>
      </c>
      <c r="T1" s="6" t="s">
        <v>13</v>
      </c>
      <c r="U1" s="6" t="s">
        <v>14</v>
      </c>
      <c r="V1" s="6" t="s">
        <v>15</v>
      </c>
      <c r="W1" s="6" t="s">
        <v>16</v>
      </c>
      <c r="X1" s="6" t="s">
        <v>17</v>
      </c>
      <c r="Y1" s="6" t="s">
        <v>18</v>
      </c>
      <c r="Z1" s="6" t="s">
        <v>19</v>
      </c>
      <c r="AA1" s="6" t="s">
        <v>20</v>
      </c>
      <c r="AB1" s="6" t="s">
        <v>21</v>
      </c>
      <c r="AC1" s="6" t="s">
        <v>22</v>
      </c>
      <c r="AD1" s="6" t="s">
        <v>23</v>
      </c>
      <c r="AE1" s="6" t="s">
        <v>24</v>
      </c>
      <c r="AF1" s="6" t="s">
        <v>25</v>
      </c>
      <c r="AG1" s="6" t="s">
        <v>26</v>
      </c>
      <c r="AH1" s="6" t="s">
        <v>27</v>
      </c>
      <c r="AI1" s="6" t="s">
        <v>28</v>
      </c>
      <c r="AJ1" s="6" t="s">
        <v>29</v>
      </c>
      <c r="AK1" s="6" t="s">
        <v>30</v>
      </c>
      <c r="AL1" s="6" t="s">
        <v>31</v>
      </c>
      <c r="AM1" s="6" t="s">
        <v>32</v>
      </c>
      <c r="AN1" s="6" t="s">
        <v>33</v>
      </c>
      <c r="AO1" s="6" t="s">
        <v>34</v>
      </c>
      <c r="AP1" s="6" t="s">
        <v>35</v>
      </c>
      <c r="AQ1" s="6" t="s">
        <v>36</v>
      </c>
      <c r="AR1" s="6" t="s">
        <v>37</v>
      </c>
      <c r="AS1" s="6" t="s">
        <v>38</v>
      </c>
      <c r="AT1" s="6" t="s">
        <v>39</v>
      </c>
      <c r="AU1" s="6" t="s">
        <v>40</v>
      </c>
      <c r="AV1" s="6" t="s">
        <v>41</v>
      </c>
      <c r="AW1" s="5"/>
      <c r="AX1" s="8" t="s">
        <v>1</v>
      </c>
      <c r="AY1" s="8" t="s">
        <v>2</v>
      </c>
      <c r="AZ1" s="8" t="s">
        <v>3</v>
      </c>
      <c r="BA1" s="8" t="s">
        <v>4</v>
      </c>
      <c r="BB1" s="8" t="s">
        <v>5</v>
      </c>
      <c r="BC1" s="8" t="s">
        <v>6</v>
      </c>
      <c r="BD1" s="8" t="s">
        <v>7</v>
      </c>
      <c r="BE1" s="8" t="s">
        <v>8</v>
      </c>
      <c r="BF1" s="8" t="s">
        <v>9</v>
      </c>
      <c r="BG1" s="8" t="s">
        <v>10</v>
      </c>
      <c r="BH1" s="8" t="s">
        <v>11</v>
      </c>
      <c r="BI1" s="8" t="s">
        <v>12</v>
      </c>
      <c r="BJ1" s="8" t="s">
        <v>13</v>
      </c>
      <c r="BK1" s="8" t="s">
        <v>14</v>
      </c>
      <c r="BL1" s="8" t="s">
        <v>15</v>
      </c>
      <c r="BM1" s="8" t="s">
        <v>16</v>
      </c>
      <c r="BN1" s="8" t="s">
        <v>17</v>
      </c>
      <c r="BO1" s="8" t="s">
        <v>18</v>
      </c>
      <c r="BP1" s="8" t="s">
        <v>19</v>
      </c>
      <c r="BQ1" s="8" t="s">
        <v>20</v>
      </c>
      <c r="BR1" s="8" t="s">
        <v>21</v>
      </c>
      <c r="BS1" s="8" t="s">
        <v>22</v>
      </c>
      <c r="BT1" s="8" t="s">
        <v>23</v>
      </c>
      <c r="BU1" s="8" t="s">
        <v>24</v>
      </c>
      <c r="BV1" s="8" t="s">
        <v>25</v>
      </c>
      <c r="BW1" s="8" t="s">
        <v>26</v>
      </c>
      <c r="BX1" s="8" t="s">
        <v>27</v>
      </c>
      <c r="BY1" s="8" t="s">
        <v>28</v>
      </c>
      <c r="BZ1" s="8" t="s">
        <v>29</v>
      </c>
      <c r="CA1" s="8" t="s">
        <v>30</v>
      </c>
      <c r="CB1" s="8" t="s">
        <v>31</v>
      </c>
      <c r="CC1" s="8" t="s">
        <v>32</v>
      </c>
      <c r="CD1" s="8" t="s">
        <v>33</v>
      </c>
      <c r="CE1" s="8" t="s">
        <v>34</v>
      </c>
      <c r="CF1" s="8" t="s">
        <v>35</v>
      </c>
      <c r="CG1" s="8" t="s">
        <v>36</v>
      </c>
      <c r="CH1" s="8" t="s">
        <v>37</v>
      </c>
      <c r="CI1" s="8" t="s">
        <v>38</v>
      </c>
      <c r="CJ1" s="8" t="s">
        <v>39</v>
      </c>
      <c r="CK1" s="8" t="s">
        <v>40</v>
      </c>
      <c r="CL1" s="8" t="s">
        <v>41</v>
      </c>
    </row>
    <row r="2" ht="14.25" customHeight="1">
      <c r="A2" s="9" t="s">
        <v>42</v>
      </c>
      <c r="B2" s="1"/>
      <c r="C2" s="10" t="str">
        <f t="array" ref="C2">(AVERAGE(INDIRECT(F2):INDIRECT(F3))+0.5*AVERAGE(INDIRECT(F4):INDIRECT(F5)))/(AVERAGE(INDIRECT(F6):INDIRECT(F7)))</f>
        <v>#REF!</v>
      </c>
      <c r="D2" s="1"/>
      <c r="E2" s="11" t="s">
        <v>43</v>
      </c>
      <c r="F2" s="12" t="str">
        <f>CONCATENATE("O",E1-9)</f>
        <v>O-8</v>
      </c>
      <c r="G2" s="5"/>
      <c r="H2" s="13" t="s">
        <v>44</v>
      </c>
      <c r="I2" s="13" t="s">
        <v>45</v>
      </c>
      <c r="J2" s="13" t="s">
        <v>46</v>
      </c>
      <c r="K2" s="13" t="s">
        <v>47</v>
      </c>
      <c r="L2" s="13" t="s">
        <v>48</v>
      </c>
      <c r="M2" s="13" t="s">
        <v>49</v>
      </c>
      <c r="N2" s="13" t="s">
        <v>50</v>
      </c>
      <c r="O2" s="13">
        <v>40.0</v>
      </c>
      <c r="P2" s="13">
        <v>88.0</v>
      </c>
      <c r="Q2" s="13" t="s">
        <v>51</v>
      </c>
      <c r="R2" s="13">
        <v>10.0</v>
      </c>
      <c r="S2" s="13" t="s">
        <v>52</v>
      </c>
      <c r="T2" s="13" t="s">
        <v>53</v>
      </c>
      <c r="U2" s="13">
        <v>19.0</v>
      </c>
      <c r="V2" s="13">
        <v>24.0</v>
      </c>
      <c r="W2" s="13" t="s">
        <v>54</v>
      </c>
      <c r="X2" s="13">
        <v>9.0</v>
      </c>
      <c r="Y2" s="13">
        <v>54.0</v>
      </c>
      <c r="Z2" s="13" t="s">
        <v>55</v>
      </c>
      <c r="AA2" s="13" t="s">
        <v>56</v>
      </c>
      <c r="AB2" s="13" t="s">
        <v>57</v>
      </c>
      <c r="AC2" s="13">
        <v>16.0</v>
      </c>
      <c r="AD2" s="13" t="s">
        <v>58</v>
      </c>
      <c r="AE2" s="13">
        <v>37.0</v>
      </c>
      <c r="AF2" s="13">
        <v>93.0</v>
      </c>
      <c r="AG2" s="13" t="s">
        <v>59</v>
      </c>
      <c r="AH2" s="13">
        <v>13.0</v>
      </c>
      <c r="AI2" s="13" t="s">
        <v>60</v>
      </c>
      <c r="AJ2" s="13" t="s">
        <v>61</v>
      </c>
      <c r="AK2" s="13">
        <v>20.0</v>
      </c>
      <c r="AL2" s="13">
        <v>32.0</v>
      </c>
      <c r="AM2" s="13" t="s">
        <v>62</v>
      </c>
      <c r="AN2" s="13">
        <v>13.0</v>
      </c>
      <c r="AO2" s="13">
        <v>47.0</v>
      </c>
      <c r="AP2" s="13" t="s">
        <v>63</v>
      </c>
      <c r="AQ2" s="13" t="s">
        <v>64</v>
      </c>
      <c r="AR2" s="13" t="s">
        <v>65</v>
      </c>
      <c r="AS2" s="13">
        <v>13.0</v>
      </c>
      <c r="AT2" s="13" t="s">
        <v>66</v>
      </c>
      <c r="AU2" s="13">
        <f>Sheet1!$Y2-Sheet1!$X2</f>
        <v>45</v>
      </c>
      <c r="AV2" s="13">
        <f>Sheet1!$AO2-Sheet1!$AN2</f>
        <v>34</v>
      </c>
      <c r="AW2" s="5"/>
      <c r="AX2" s="13">
        <v>1.0</v>
      </c>
      <c r="AY2" s="13" t="s">
        <v>67</v>
      </c>
      <c r="AZ2" s="13"/>
      <c r="BA2" s="13" t="s">
        <v>68</v>
      </c>
      <c r="BB2" s="13" t="s">
        <v>48</v>
      </c>
      <c r="BC2" s="13" t="s">
        <v>69</v>
      </c>
      <c r="BD2" s="13" t="s">
        <v>50</v>
      </c>
      <c r="BE2" s="13">
        <v>41.0</v>
      </c>
      <c r="BF2" s="13">
        <v>87.0</v>
      </c>
      <c r="BG2" s="13" t="s">
        <v>70</v>
      </c>
      <c r="BH2" s="13">
        <v>8.0</v>
      </c>
      <c r="BI2" s="13" t="s">
        <v>71</v>
      </c>
      <c r="BJ2" s="13" t="s">
        <v>72</v>
      </c>
      <c r="BK2" s="13">
        <v>23.0</v>
      </c>
      <c r="BL2" s="13">
        <v>30.0</v>
      </c>
      <c r="BM2" s="13" t="s">
        <v>73</v>
      </c>
      <c r="BN2" s="13">
        <v>10.0</v>
      </c>
      <c r="BO2" s="13">
        <v>47.0</v>
      </c>
      <c r="BP2" s="13" t="s">
        <v>66</v>
      </c>
      <c r="BQ2" s="13" t="s">
        <v>64</v>
      </c>
      <c r="BR2" s="13" t="s">
        <v>65</v>
      </c>
      <c r="BS2" s="13">
        <v>16.0</v>
      </c>
      <c r="BT2" s="13" t="s">
        <v>55</v>
      </c>
      <c r="BU2" s="13">
        <v>39.0</v>
      </c>
      <c r="BV2" s="13">
        <v>85.0</v>
      </c>
      <c r="BW2" s="13" t="s">
        <v>74</v>
      </c>
      <c r="BX2" s="13">
        <v>13.0</v>
      </c>
      <c r="BY2" s="13" t="s">
        <v>63</v>
      </c>
      <c r="BZ2" s="13" t="s">
        <v>75</v>
      </c>
      <c r="CA2" s="13">
        <v>16.0</v>
      </c>
      <c r="CB2" s="13">
        <v>23.0</v>
      </c>
      <c r="CC2" s="13" t="s">
        <v>76</v>
      </c>
      <c r="CD2" s="13">
        <v>5.0</v>
      </c>
      <c r="CE2" s="13">
        <v>40.0</v>
      </c>
      <c r="CF2" s="13" t="s">
        <v>71</v>
      </c>
      <c r="CG2" s="13" t="s">
        <v>57</v>
      </c>
      <c r="CH2" s="13" t="s">
        <v>77</v>
      </c>
      <c r="CI2" s="13">
        <v>19.0</v>
      </c>
      <c r="CJ2" s="13" t="s">
        <v>78</v>
      </c>
      <c r="CK2" s="13">
        <f>Sheet1!$BO2-Sheet1!$BN2</f>
        <v>37</v>
      </c>
      <c r="CL2" s="13">
        <f>Sheet1!$CE2-Sheet1!$CD2</f>
        <v>35</v>
      </c>
    </row>
    <row r="3" ht="14.25" customHeight="1">
      <c r="B3" s="1"/>
      <c r="C3" s="14" t="s">
        <v>79</v>
      </c>
      <c r="D3" s="1"/>
      <c r="E3" s="11"/>
      <c r="F3" s="12" t="str">
        <f>CONCATENATE("O",E1)</f>
        <v>O1</v>
      </c>
      <c r="G3" s="5"/>
      <c r="H3" s="13" t="s">
        <v>80</v>
      </c>
      <c r="I3" s="13" t="s">
        <v>81</v>
      </c>
      <c r="J3" s="13"/>
      <c r="K3" s="13" t="s">
        <v>82</v>
      </c>
      <c r="L3" s="13" t="s">
        <v>83</v>
      </c>
      <c r="M3" s="13" t="s">
        <v>49</v>
      </c>
      <c r="N3" s="13" t="s">
        <v>84</v>
      </c>
      <c r="O3" s="13">
        <v>40.0</v>
      </c>
      <c r="P3" s="13">
        <v>86.0</v>
      </c>
      <c r="Q3" s="13" t="s">
        <v>85</v>
      </c>
      <c r="R3" s="13">
        <v>15.0</v>
      </c>
      <c r="S3" s="13" t="s">
        <v>86</v>
      </c>
      <c r="T3" s="13" t="s">
        <v>87</v>
      </c>
      <c r="U3" s="13">
        <v>14.0</v>
      </c>
      <c r="V3" s="13">
        <v>19.0</v>
      </c>
      <c r="W3" s="13" t="s">
        <v>88</v>
      </c>
      <c r="X3" s="13">
        <v>7.0</v>
      </c>
      <c r="Y3" s="13">
        <v>37.0</v>
      </c>
      <c r="Z3" s="13" t="s">
        <v>58</v>
      </c>
      <c r="AA3" s="13" t="s">
        <v>89</v>
      </c>
      <c r="AB3" s="13" t="s">
        <v>90</v>
      </c>
      <c r="AC3" s="13">
        <v>15.0</v>
      </c>
      <c r="AD3" s="13" t="s">
        <v>91</v>
      </c>
      <c r="AE3" s="13">
        <v>43.0</v>
      </c>
      <c r="AF3" s="13">
        <v>86.0</v>
      </c>
      <c r="AG3" s="13" t="s">
        <v>92</v>
      </c>
      <c r="AH3" s="13">
        <v>13.0</v>
      </c>
      <c r="AI3" s="13" t="s">
        <v>52</v>
      </c>
      <c r="AJ3" s="13" t="s">
        <v>93</v>
      </c>
      <c r="AK3" s="13">
        <v>11.0</v>
      </c>
      <c r="AL3" s="13">
        <v>14.0</v>
      </c>
      <c r="AM3" s="13" t="s">
        <v>94</v>
      </c>
      <c r="AN3" s="13">
        <v>8.0</v>
      </c>
      <c r="AO3" s="13">
        <v>43.0</v>
      </c>
      <c r="AP3" s="13" t="s">
        <v>95</v>
      </c>
      <c r="AQ3" s="13" t="s">
        <v>89</v>
      </c>
      <c r="AR3" s="13" t="s">
        <v>96</v>
      </c>
      <c r="AS3" s="13">
        <v>16.0</v>
      </c>
      <c r="AT3" s="13" t="s">
        <v>97</v>
      </c>
      <c r="AU3" s="13">
        <f>Sheet1!$Y3-Sheet1!$X3</f>
        <v>30</v>
      </c>
      <c r="AV3" s="13">
        <f>Sheet1!$AO3-Sheet1!$AN3</f>
        <v>35</v>
      </c>
      <c r="AW3" s="5"/>
      <c r="AX3" s="13">
        <v>2.0</v>
      </c>
      <c r="AY3" s="13" t="s">
        <v>45</v>
      </c>
      <c r="AZ3" s="13" t="s">
        <v>46</v>
      </c>
      <c r="BA3" s="13" t="s">
        <v>98</v>
      </c>
      <c r="BB3" s="13" t="s">
        <v>48</v>
      </c>
      <c r="BC3" s="13" t="s">
        <v>49</v>
      </c>
      <c r="BD3" s="13" t="s">
        <v>99</v>
      </c>
      <c r="BE3" s="13">
        <v>41.0</v>
      </c>
      <c r="BF3" s="13">
        <v>88.0</v>
      </c>
      <c r="BG3" s="13" t="s">
        <v>100</v>
      </c>
      <c r="BH3" s="13">
        <v>11.0</v>
      </c>
      <c r="BI3" s="13" t="s">
        <v>101</v>
      </c>
      <c r="BJ3" s="13" t="s">
        <v>102</v>
      </c>
      <c r="BK3" s="13">
        <v>16.0</v>
      </c>
      <c r="BL3" s="13">
        <v>22.0</v>
      </c>
      <c r="BM3" s="13" t="s">
        <v>103</v>
      </c>
      <c r="BN3" s="13">
        <v>12.0</v>
      </c>
      <c r="BO3" s="13">
        <v>47.0</v>
      </c>
      <c r="BP3" s="13" t="s">
        <v>104</v>
      </c>
      <c r="BQ3" s="13" t="s">
        <v>89</v>
      </c>
      <c r="BR3" s="13" t="s">
        <v>96</v>
      </c>
      <c r="BS3" s="13">
        <v>12.0</v>
      </c>
      <c r="BT3" s="13" t="s">
        <v>97</v>
      </c>
      <c r="BU3" s="13">
        <v>32.0</v>
      </c>
      <c r="BV3" s="13">
        <v>83.0</v>
      </c>
      <c r="BW3" s="13" t="s">
        <v>105</v>
      </c>
      <c r="BX3" s="13">
        <v>8.0</v>
      </c>
      <c r="BY3" s="13" t="s">
        <v>106</v>
      </c>
      <c r="BZ3" s="13" t="s">
        <v>107</v>
      </c>
      <c r="CA3" s="13">
        <v>17.0</v>
      </c>
      <c r="CB3" s="13">
        <v>23.0</v>
      </c>
      <c r="CC3" s="13" t="s">
        <v>108</v>
      </c>
      <c r="CD3" s="13">
        <v>13.0</v>
      </c>
      <c r="CE3" s="13">
        <v>43.0</v>
      </c>
      <c r="CF3" s="13" t="s">
        <v>97</v>
      </c>
      <c r="CG3" s="13" t="s">
        <v>96</v>
      </c>
      <c r="CH3" s="13" t="s">
        <v>77</v>
      </c>
      <c r="CI3" s="13">
        <v>16.0</v>
      </c>
      <c r="CJ3" s="13" t="s">
        <v>109</v>
      </c>
      <c r="CK3" s="13">
        <f>Sheet1!$BO3-Sheet1!$BN3</f>
        <v>35</v>
      </c>
      <c r="CL3" s="13">
        <f>Sheet1!$CE3-Sheet1!$CD3</f>
        <v>30</v>
      </c>
    </row>
    <row r="4" ht="14.25" customHeight="1">
      <c r="A4" s="2" t="s">
        <v>110</v>
      </c>
      <c r="B4" s="1"/>
      <c r="C4" s="15" t="str">
        <f t="array" ref="C4">(AVERAGE(INDIRECT(F8):INDIRECT(F9))+0.5*AVERAGE(INDIRECT(F10):INDIRECT(F11)))/(AVERAGE(INDIRECT(F12):INDIRECT(F13)))</f>
        <v>#REF!</v>
      </c>
      <c r="D4" s="1"/>
      <c r="E4" s="11" t="s">
        <v>111</v>
      </c>
      <c r="F4" s="12" t="str">
        <f>CONCATENATE("R",E1-9)</f>
        <v>R-8</v>
      </c>
      <c r="G4" s="5"/>
      <c r="H4" s="13" t="s">
        <v>112</v>
      </c>
      <c r="I4" s="13" t="s">
        <v>113</v>
      </c>
      <c r="J4" s="13"/>
      <c r="K4" s="13" t="s">
        <v>114</v>
      </c>
      <c r="L4" s="13" t="s">
        <v>83</v>
      </c>
      <c r="M4" s="13" t="s">
        <v>50</v>
      </c>
      <c r="N4" s="13" t="s">
        <v>115</v>
      </c>
      <c r="O4" s="13">
        <v>43.0</v>
      </c>
      <c r="P4" s="13">
        <v>87.0</v>
      </c>
      <c r="Q4" s="13" t="s">
        <v>116</v>
      </c>
      <c r="R4" s="13">
        <v>11.0</v>
      </c>
      <c r="S4" s="13" t="s">
        <v>117</v>
      </c>
      <c r="T4" s="13" t="s">
        <v>118</v>
      </c>
      <c r="U4" s="13">
        <v>10.0</v>
      </c>
      <c r="V4" s="13">
        <v>19.0</v>
      </c>
      <c r="W4" s="13" t="s">
        <v>119</v>
      </c>
      <c r="X4" s="13">
        <v>10.0</v>
      </c>
      <c r="Y4" s="13">
        <v>47.0</v>
      </c>
      <c r="Z4" s="13" t="s">
        <v>104</v>
      </c>
      <c r="AA4" s="13" t="s">
        <v>112</v>
      </c>
      <c r="AB4" s="13" t="s">
        <v>57</v>
      </c>
      <c r="AC4" s="13">
        <v>20.0</v>
      </c>
      <c r="AD4" s="13" t="s">
        <v>120</v>
      </c>
      <c r="AE4" s="13">
        <v>49.0</v>
      </c>
      <c r="AF4" s="13">
        <v>96.0</v>
      </c>
      <c r="AG4" s="13" t="s">
        <v>121</v>
      </c>
      <c r="AH4" s="13">
        <v>7.0</v>
      </c>
      <c r="AI4" s="13" t="s">
        <v>66</v>
      </c>
      <c r="AJ4" s="13" t="s">
        <v>122</v>
      </c>
      <c r="AK4" s="13">
        <v>13.0</v>
      </c>
      <c r="AL4" s="13">
        <v>16.0</v>
      </c>
      <c r="AM4" s="13" t="s">
        <v>123</v>
      </c>
      <c r="AN4" s="13">
        <v>12.0</v>
      </c>
      <c r="AO4" s="13">
        <v>46.0</v>
      </c>
      <c r="AP4" s="13" t="s">
        <v>78</v>
      </c>
      <c r="AQ4" s="13" t="s">
        <v>124</v>
      </c>
      <c r="AR4" s="13" t="s">
        <v>80</v>
      </c>
      <c r="AS4" s="13">
        <v>11.0</v>
      </c>
      <c r="AT4" s="13" t="s">
        <v>109</v>
      </c>
      <c r="AU4" s="13">
        <f>Sheet1!$Y4-Sheet1!$X4</f>
        <v>37</v>
      </c>
      <c r="AV4" s="13">
        <f>Sheet1!$AO4-Sheet1!$AN4</f>
        <v>34</v>
      </c>
      <c r="AW4" s="5"/>
      <c r="AX4" s="13">
        <v>3.0</v>
      </c>
      <c r="AY4" s="13" t="s">
        <v>125</v>
      </c>
      <c r="AZ4" s="13" t="s">
        <v>46</v>
      </c>
      <c r="BA4" s="13" t="s">
        <v>126</v>
      </c>
      <c r="BB4" s="13" t="s">
        <v>83</v>
      </c>
      <c r="BC4" s="13" t="s">
        <v>127</v>
      </c>
      <c r="BD4" s="13" t="s">
        <v>115</v>
      </c>
      <c r="BE4" s="13">
        <v>33.0</v>
      </c>
      <c r="BF4" s="13">
        <v>79.0</v>
      </c>
      <c r="BG4" s="13" t="s">
        <v>128</v>
      </c>
      <c r="BH4" s="13">
        <v>12.0</v>
      </c>
      <c r="BI4" s="13" t="s">
        <v>129</v>
      </c>
      <c r="BJ4" s="13" t="s">
        <v>118</v>
      </c>
      <c r="BK4" s="13">
        <v>16.0</v>
      </c>
      <c r="BL4" s="13">
        <v>22.0</v>
      </c>
      <c r="BM4" s="13" t="s">
        <v>103</v>
      </c>
      <c r="BN4" s="13">
        <v>8.0</v>
      </c>
      <c r="BO4" s="13">
        <v>39.0</v>
      </c>
      <c r="BP4" s="13" t="s">
        <v>95</v>
      </c>
      <c r="BQ4" s="13" t="s">
        <v>89</v>
      </c>
      <c r="BR4" s="13" t="s">
        <v>90</v>
      </c>
      <c r="BS4" s="13">
        <v>21.0</v>
      </c>
      <c r="BT4" s="13" t="s">
        <v>97</v>
      </c>
      <c r="BU4" s="13">
        <v>48.0</v>
      </c>
      <c r="BV4" s="13">
        <v>91.0</v>
      </c>
      <c r="BW4" s="13" t="s">
        <v>130</v>
      </c>
      <c r="BX4" s="13">
        <v>9.0</v>
      </c>
      <c r="BY4" s="13" t="s">
        <v>109</v>
      </c>
      <c r="BZ4" s="13" t="s">
        <v>131</v>
      </c>
      <c r="CA4" s="13">
        <v>13.0</v>
      </c>
      <c r="CB4" s="13">
        <v>16.0</v>
      </c>
      <c r="CC4" s="13" t="s">
        <v>123</v>
      </c>
      <c r="CD4" s="13">
        <v>11.0</v>
      </c>
      <c r="CE4" s="13">
        <v>45.0</v>
      </c>
      <c r="CF4" s="13" t="s">
        <v>101</v>
      </c>
      <c r="CG4" s="13" t="s">
        <v>132</v>
      </c>
      <c r="CH4" s="13" t="s">
        <v>96</v>
      </c>
      <c r="CI4" s="13">
        <v>16.0</v>
      </c>
      <c r="CJ4" s="13" t="s">
        <v>66</v>
      </c>
      <c r="CK4" s="13">
        <f>Sheet1!$BO4-Sheet1!$BN4</f>
        <v>31</v>
      </c>
      <c r="CL4" s="13">
        <f>Sheet1!$CE4-Sheet1!$CD4</f>
        <v>34</v>
      </c>
    </row>
    <row r="5" ht="14.25" customHeight="1">
      <c r="A5" s="16" t="s">
        <v>133</v>
      </c>
      <c r="B5" s="1"/>
      <c r="C5" s="17" t="s">
        <v>134</v>
      </c>
      <c r="D5" s="1"/>
      <c r="E5" s="11"/>
      <c r="F5" s="12" t="str">
        <f>CONCATENATE("R",E1)</f>
        <v>R1</v>
      </c>
      <c r="G5" s="5"/>
      <c r="H5" s="13" t="s">
        <v>77</v>
      </c>
      <c r="I5" s="13" t="s">
        <v>135</v>
      </c>
      <c r="J5" s="13"/>
      <c r="K5" s="13" t="s">
        <v>136</v>
      </c>
      <c r="L5" s="13" t="s">
        <v>83</v>
      </c>
      <c r="M5" s="13" t="s">
        <v>137</v>
      </c>
      <c r="N5" s="13" t="s">
        <v>69</v>
      </c>
      <c r="O5" s="13">
        <v>30.0</v>
      </c>
      <c r="P5" s="13">
        <v>80.0</v>
      </c>
      <c r="Q5" s="13" t="s">
        <v>138</v>
      </c>
      <c r="R5" s="13">
        <v>15.0</v>
      </c>
      <c r="S5" s="13" t="s">
        <v>139</v>
      </c>
      <c r="T5" s="13" t="s">
        <v>140</v>
      </c>
      <c r="U5" s="13">
        <v>5.0</v>
      </c>
      <c r="V5" s="13">
        <v>15.0</v>
      </c>
      <c r="W5" s="13" t="s">
        <v>141</v>
      </c>
      <c r="X5" s="13">
        <v>7.0</v>
      </c>
      <c r="Y5" s="13">
        <v>40.0</v>
      </c>
      <c r="Z5" s="13" t="s">
        <v>95</v>
      </c>
      <c r="AA5" s="13" t="s">
        <v>96</v>
      </c>
      <c r="AB5" s="13" t="s">
        <v>112</v>
      </c>
      <c r="AC5" s="13">
        <v>19.0</v>
      </c>
      <c r="AD5" s="13" t="s">
        <v>104</v>
      </c>
      <c r="AE5" s="13">
        <v>44.0</v>
      </c>
      <c r="AF5" s="13">
        <v>91.0</v>
      </c>
      <c r="AG5" s="13" t="s">
        <v>142</v>
      </c>
      <c r="AH5" s="13">
        <v>13.0</v>
      </c>
      <c r="AI5" s="13" t="s">
        <v>52</v>
      </c>
      <c r="AJ5" s="13" t="s">
        <v>93</v>
      </c>
      <c r="AK5" s="13">
        <v>12.0</v>
      </c>
      <c r="AL5" s="13">
        <v>19.0</v>
      </c>
      <c r="AM5" s="13" t="s">
        <v>143</v>
      </c>
      <c r="AN5" s="13">
        <v>14.0</v>
      </c>
      <c r="AO5" s="13">
        <v>58.0</v>
      </c>
      <c r="AP5" s="13" t="s">
        <v>109</v>
      </c>
      <c r="AQ5" s="13" t="s">
        <v>89</v>
      </c>
      <c r="AR5" s="13" t="s">
        <v>77</v>
      </c>
      <c r="AS5" s="13">
        <v>13.0</v>
      </c>
      <c r="AT5" s="13" t="s">
        <v>91</v>
      </c>
      <c r="AU5" s="13">
        <f>Sheet1!$Y5-Sheet1!$X5</f>
        <v>33</v>
      </c>
      <c r="AV5" s="13">
        <f>Sheet1!$AO5-Sheet1!$AN5</f>
        <v>44</v>
      </c>
      <c r="AW5" s="5"/>
      <c r="AX5" s="13">
        <v>4.0</v>
      </c>
      <c r="AY5" s="13" t="s">
        <v>113</v>
      </c>
      <c r="AZ5" s="13"/>
      <c r="BA5" s="13" t="s">
        <v>144</v>
      </c>
      <c r="BB5" s="13" t="s">
        <v>48</v>
      </c>
      <c r="BC5" s="13" t="s">
        <v>145</v>
      </c>
      <c r="BD5" s="13" t="s">
        <v>146</v>
      </c>
      <c r="BE5" s="13">
        <v>32.0</v>
      </c>
      <c r="BF5" s="13">
        <v>84.0</v>
      </c>
      <c r="BG5" s="13" t="s">
        <v>147</v>
      </c>
      <c r="BH5" s="13">
        <v>8.0</v>
      </c>
      <c r="BI5" s="13" t="s">
        <v>101</v>
      </c>
      <c r="BJ5" s="13" t="s">
        <v>148</v>
      </c>
      <c r="BK5" s="13">
        <v>28.0</v>
      </c>
      <c r="BL5" s="13">
        <v>33.0</v>
      </c>
      <c r="BM5" s="13" t="s">
        <v>149</v>
      </c>
      <c r="BN5" s="13">
        <v>9.0</v>
      </c>
      <c r="BO5" s="13">
        <v>54.0</v>
      </c>
      <c r="BP5" s="13" t="s">
        <v>58</v>
      </c>
      <c r="BQ5" s="13" t="s">
        <v>56</v>
      </c>
      <c r="BR5" s="13" t="s">
        <v>56</v>
      </c>
      <c r="BS5" s="13">
        <v>18.0</v>
      </c>
      <c r="BT5" s="13" t="s">
        <v>150</v>
      </c>
      <c r="BU5" s="13">
        <v>32.0</v>
      </c>
      <c r="BV5" s="13">
        <v>90.0</v>
      </c>
      <c r="BW5" s="13" t="s">
        <v>151</v>
      </c>
      <c r="BX5" s="13">
        <v>17.0</v>
      </c>
      <c r="BY5" s="13" t="s">
        <v>152</v>
      </c>
      <c r="BZ5" s="13" t="s">
        <v>153</v>
      </c>
      <c r="CA5" s="13">
        <v>12.0</v>
      </c>
      <c r="CB5" s="13">
        <v>14.0</v>
      </c>
      <c r="CC5" s="13" t="s">
        <v>154</v>
      </c>
      <c r="CD5" s="13">
        <v>10.0</v>
      </c>
      <c r="CE5" s="13">
        <v>47.0</v>
      </c>
      <c r="CF5" s="13" t="s">
        <v>58</v>
      </c>
      <c r="CG5" s="13" t="s">
        <v>124</v>
      </c>
      <c r="CH5" s="13" t="s">
        <v>57</v>
      </c>
      <c r="CI5" s="13">
        <v>19.0</v>
      </c>
      <c r="CJ5" s="13" t="s">
        <v>71</v>
      </c>
      <c r="CK5" s="13">
        <f>Sheet1!$BO5-Sheet1!$BN5</f>
        <v>45</v>
      </c>
      <c r="CL5" s="13">
        <f>Sheet1!$CE5-Sheet1!$CD5</f>
        <v>37</v>
      </c>
    </row>
    <row r="6" ht="14.25" customHeight="1">
      <c r="A6" s="18" t="s">
        <v>155</v>
      </c>
      <c r="B6" s="1"/>
      <c r="C6" s="19" t="str">
        <f t="array" ref="C6">(AVERAGE(INDIRECT(F14):INDIRECT(F15))+0.5*AVERAGE(INDIRECT(F16):INDIRECT(F17)))/(AVERAGE(INDIRECT(F18):INDIRECT(F19)))</f>
        <v>#REF!</v>
      </c>
      <c r="D6" s="1"/>
      <c r="E6" s="11" t="s">
        <v>156</v>
      </c>
      <c r="F6" s="12" t="str">
        <f>CONCATENATE("P",E1-9)</f>
        <v>P-8</v>
      </c>
      <c r="G6" s="5"/>
      <c r="H6" s="13" t="s">
        <v>90</v>
      </c>
      <c r="I6" s="13" t="s">
        <v>157</v>
      </c>
      <c r="J6" s="13" t="s">
        <v>46</v>
      </c>
      <c r="K6" s="13" t="s">
        <v>114</v>
      </c>
      <c r="L6" s="13" t="s">
        <v>48</v>
      </c>
      <c r="M6" s="13" t="s">
        <v>158</v>
      </c>
      <c r="N6" s="13" t="s">
        <v>159</v>
      </c>
      <c r="O6" s="13">
        <v>38.0</v>
      </c>
      <c r="P6" s="13">
        <v>86.0</v>
      </c>
      <c r="Q6" s="13" t="s">
        <v>160</v>
      </c>
      <c r="R6" s="13">
        <v>13.0</v>
      </c>
      <c r="S6" s="13" t="s">
        <v>161</v>
      </c>
      <c r="T6" s="13" t="s">
        <v>162</v>
      </c>
      <c r="U6" s="13">
        <v>19.0</v>
      </c>
      <c r="V6" s="13">
        <v>21.0</v>
      </c>
      <c r="W6" s="13" t="s">
        <v>163</v>
      </c>
      <c r="X6" s="13">
        <v>6.0</v>
      </c>
      <c r="Y6" s="13">
        <v>52.0</v>
      </c>
      <c r="Z6" s="13" t="s">
        <v>66</v>
      </c>
      <c r="AA6" s="13" t="s">
        <v>90</v>
      </c>
      <c r="AB6" s="13" t="s">
        <v>90</v>
      </c>
      <c r="AC6" s="13">
        <v>10.0</v>
      </c>
      <c r="AD6" s="13" t="s">
        <v>164</v>
      </c>
      <c r="AE6" s="13">
        <v>40.0</v>
      </c>
      <c r="AF6" s="13">
        <v>108.0</v>
      </c>
      <c r="AG6" s="13" t="s">
        <v>165</v>
      </c>
      <c r="AH6" s="13">
        <v>10.0</v>
      </c>
      <c r="AI6" s="13" t="s">
        <v>86</v>
      </c>
      <c r="AJ6" s="13" t="s">
        <v>166</v>
      </c>
      <c r="AK6" s="13">
        <v>9.0</v>
      </c>
      <c r="AL6" s="13">
        <v>12.0</v>
      </c>
      <c r="AM6" s="13" t="s">
        <v>167</v>
      </c>
      <c r="AN6" s="13">
        <v>15.0</v>
      </c>
      <c r="AO6" s="13">
        <v>55.0</v>
      </c>
      <c r="AP6" s="13" t="s">
        <v>58</v>
      </c>
      <c r="AQ6" s="13" t="s">
        <v>57</v>
      </c>
      <c r="AR6" s="13" t="s">
        <v>44</v>
      </c>
      <c r="AS6" s="13">
        <v>6.0</v>
      </c>
      <c r="AT6" s="13" t="s">
        <v>120</v>
      </c>
      <c r="AU6" s="13">
        <f>Sheet1!$Y6-Sheet1!$X6</f>
        <v>46</v>
      </c>
      <c r="AV6" s="13">
        <f>Sheet1!$AO6-Sheet1!$AN6</f>
        <v>40</v>
      </c>
      <c r="AW6" s="5"/>
      <c r="AX6" s="13">
        <v>5.0</v>
      </c>
      <c r="AY6" s="13" t="s">
        <v>135</v>
      </c>
      <c r="AZ6" s="13" t="s">
        <v>46</v>
      </c>
      <c r="BA6" s="13" t="s">
        <v>114</v>
      </c>
      <c r="BB6" s="13" t="s">
        <v>48</v>
      </c>
      <c r="BC6" s="13" t="s">
        <v>168</v>
      </c>
      <c r="BD6" s="13" t="s">
        <v>169</v>
      </c>
      <c r="BE6" s="13">
        <v>44.0</v>
      </c>
      <c r="BF6" s="13">
        <v>91.0</v>
      </c>
      <c r="BG6" s="13" t="s">
        <v>142</v>
      </c>
      <c r="BH6" s="13">
        <v>15.0</v>
      </c>
      <c r="BI6" s="13" t="s">
        <v>170</v>
      </c>
      <c r="BJ6" s="13" t="s">
        <v>51</v>
      </c>
      <c r="BK6" s="13">
        <v>13.0</v>
      </c>
      <c r="BL6" s="13">
        <v>15.0</v>
      </c>
      <c r="BM6" s="13" t="s">
        <v>171</v>
      </c>
      <c r="BN6" s="13">
        <v>7.0</v>
      </c>
      <c r="BO6" s="13">
        <v>54.0</v>
      </c>
      <c r="BP6" s="13" t="s">
        <v>109</v>
      </c>
      <c r="BQ6" s="13" t="s">
        <v>57</v>
      </c>
      <c r="BR6" s="13" t="s">
        <v>56</v>
      </c>
      <c r="BS6" s="13">
        <v>14.0</v>
      </c>
      <c r="BT6" s="13" t="s">
        <v>109</v>
      </c>
      <c r="BU6" s="13">
        <v>33.0</v>
      </c>
      <c r="BV6" s="13">
        <v>95.0</v>
      </c>
      <c r="BW6" s="13" t="s">
        <v>172</v>
      </c>
      <c r="BX6" s="13">
        <v>7.0</v>
      </c>
      <c r="BY6" s="13" t="s">
        <v>71</v>
      </c>
      <c r="BZ6" s="13" t="s">
        <v>173</v>
      </c>
      <c r="CA6" s="13">
        <v>19.0</v>
      </c>
      <c r="CB6" s="13">
        <v>21.0</v>
      </c>
      <c r="CC6" s="13" t="s">
        <v>163</v>
      </c>
      <c r="CD6" s="13">
        <v>10.0</v>
      </c>
      <c r="CE6" s="13">
        <v>48.0</v>
      </c>
      <c r="CF6" s="13" t="s">
        <v>164</v>
      </c>
      <c r="CG6" s="13" t="s">
        <v>80</v>
      </c>
      <c r="CH6" s="13" t="s">
        <v>90</v>
      </c>
      <c r="CI6" s="13">
        <v>11.0</v>
      </c>
      <c r="CJ6" s="13" t="s">
        <v>150</v>
      </c>
      <c r="CK6" s="13">
        <f>Sheet1!$BO6-Sheet1!$BN6</f>
        <v>47</v>
      </c>
      <c r="CL6" s="13">
        <f>Sheet1!$CE6-Sheet1!$CD6</f>
        <v>38</v>
      </c>
    </row>
    <row r="7" ht="14.25" customHeight="1">
      <c r="A7" s="20" t="str">
        <f>CONCATENATE("https://www.basketball-reference.com/teams/",A5,"/2021/gamelog/")</f>
        <v>https://www.basketball-reference.com/teams/OKC/2021/gamelog/</v>
      </c>
      <c r="B7" s="1"/>
      <c r="C7" s="17" t="s">
        <v>79</v>
      </c>
      <c r="D7" s="1"/>
      <c r="E7" s="11"/>
      <c r="F7" s="12" t="str">
        <f>CONCATENATE("P",E1)</f>
        <v>P1</v>
      </c>
      <c r="G7" s="5"/>
      <c r="H7" s="13" t="s">
        <v>96</v>
      </c>
      <c r="I7" s="13" t="s">
        <v>174</v>
      </c>
      <c r="J7" s="13" t="s">
        <v>46</v>
      </c>
      <c r="K7" s="13" t="s">
        <v>175</v>
      </c>
      <c r="L7" s="13" t="s">
        <v>83</v>
      </c>
      <c r="M7" s="13" t="s">
        <v>176</v>
      </c>
      <c r="N7" s="13" t="s">
        <v>115</v>
      </c>
      <c r="O7" s="13">
        <v>29.0</v>
      </c>
      <c r="P7" s="13">
        <v>79.0</v>
      </c>
      <c r="Q7" s="13" t="s">
        <v>177</v>
      </c>
      <c r="R7" s="13">
        <v>13.0</v>
      </c>
      <c r="S7" s="13" t="s">
        <v>139</v>
      </c>
      <c r="T7" s="13" t="s">
        <v>178</v>
      </c>
      <c r="U7" s="13">
        <v>19.0</v>
      </c>
      <c r="V7" s="13">
        <v>27.0</v>
      </c>
      <c r="W7" s="13" t="s">
        <v>179</v>
      </c>
      <c r="X7" s="13">
        <v>6.0</v>
      </c>
      <c r="Y7" s="13">
        <v>38.0</v>
      </c>
      <c r="Z7" s="13" t="s">
        <v>104</v>
      </c>
      <c r="AA7" s="13" t="s">
        <v>96</v>
      </c>
      <c r="AB7" s="13" t="s">
        <v>77</v>
      </c>
      <c r="AC7" s="13">
        <v>15.0</v>
      </c>
      <c r="AD7" s="13" t="s">
        <v>150</v>
      </c>
      <c r="AE7" s="13">
        <v>46.0</v>
      </c>
      <c r="AF7" s="13">
        <v>81.0</v>
      </c>
      <c r="AG7" s="13" t="s">
        <v>180</v>
      </c>
      <c r="AH7" s="13">
        <v>16.0</v>
      </c>
      <c r="AI7" s="13" t="s">
        <v>117</v>
      </c>
      <c r="AJ7" s="13" t="s">
        <v>70</v>
      </c>
      <c r="AK7" s="13">
        <v>10.0</v>
      </c>
      <c r="AL7" s="13">
        <v>18.0</v>
      </c>
      <c r="AM7" s="13" t="s">
        <v>181</v>
      </c>
      <c r="AN7" s="13">
        <v>4.0</v>
      </c>
      <c r="AO7" s="13">
        <v>47.0</v>
      </c>
      <c r="AP7" s="13" t="s">
        <v>117</v>
      </c>
      <c r="AQ7" s="13" t="s">
        <v>57</v>
      </c>
      <c r="AR7" s="13" t="s">
        <v>182</v>
      </c>
      <c r="AS7" s="13">
        <v>14.0</v>
      </c>
      <c r="AT7" s="13" t="s">
        <v>104</v>
      </c>
      <c r="AU7" s="13">
        <f>Sheet1!$Y7-Sheet1!$X7</f>
        <v>32</v>
      </c>
      <c r="AV7" s="13">
        <f>Sheet1!$AO7-Sheet1!$AN7</f>
        <v>43</v>
      </c>
      <c r="AW7" s="5"/>
      <c r="AX7" s="13">
        <v>6.0</v>
      </c>
      <c r="AY7" s="13" t="s">
        <v>157</v>
      </c>
      <c r="AZ7" s="13"/>
      <c r="BA7" s="13" t="s">
        <v>47</v>
      </c>
      <c r="BB7" s="13" t="s">
        <v>48</v>
      </c>
      <c r="BC7" s="13" t="s">
        <v>183</v>
      </c>
      <c r="BD7" s="13" t="s">
        <v>184</v>
      </c>
      <c r="BE7" s="13">
        <v>47.0</v>
      </c>
      <c r="BF7" s="13">
        <v>79.0</v>
      </c>
      <c r="BG7" s="13" t="s">
        <v>185</v>
      </c>
      <c r="BH7" s="13">
        <v>16.0</v>
      </c>
      <c r="BI7" s="13" t="s">
        <v>186</v>
      </c>
      <c r="BJ7" s="13" t="s">
        <v>187</v>
      </c>
      <c r="BK7" s="13">
        <v>17.0</v>
      </c>
      <c r="BL7" s="13">
        <v>24.0</v>
      </c>
      <c r="BM7" s="13" t="s">
        <v>188</v>
      </c>
      <c r="BN7" s="13">
        <v>7.0</v>
      </c>
      <c r="BO7" s="13">
        <v>45.0</v>
      </c>
      <c r="BP7" s="13" t="s">
        <v>186</v>
      </c>
      <c r="BQ7" s="13" t="s">
        <v>56</v>
      </c>
      <c r="BR7" s="13" t="s">
        <v>57</v>
      </c>
      <c r="BS7" s="13">
        <v>21.0</v>
      </c>
      <c r="BT7" s="13" t="s">
        <v>164</v>
      </c>
      <c r="BU7" s="13">
        <v>38.0</v>
      </c>
      <c r="BV7" s="13">
        <v>92.0</v>
      </c>
      <c r="BW7" s="13" t="s">
        <v>189</v>
      </c>
      <c r="BX7" s="13">
        <v>13.0</v>
      </c>
      <c r="BY7" s="13" t="s">
        <v>186</v>
      </c>
      <c r="BZ7" s="13" t="s">
        <v>190</v>
      </c>
      <c r="CA7" s="13">
        <v>23.0</v>
      </c>
      <c r="CB7" s="13">
        <v>26.0</v>
      </c>
      <c r="CC7" s="13" t="s">
        <v>191</v>
      </c>
      <c r="CD7" s="13">
        <v>14.0</v>
      </c>
      <c r="CE7" s="13">
        <v>40.0</v>
      </c>
      <c r="CF7" s="13" t="s">
        <v>117</v>
      </c>
      <c r="CG7" s="13" t="s">
        <v>150</v>
      </c>
      <c r="CH7" s="13" t="s">
        <v>90</v>
      </c>
      <c r="CI7" s="13">
        <v>12.0</v>
      </c>
      <c r="CJ7" s="13" t="s">
        <v>120</v>
      </c>
      <c r="CK7" s="13">
        <f>Sheet1!$BO7-Sheet1!$BN7</f>
        <v>38</v>
      </c>
      <c r="CL7" s="13">
        <f>Sheet1!$CE7-Sheet1!$CD7</f>
        <v>26</v>
      </c>
    </row>
    <row r="8" ht="14.25" customHeight="1">
      <c r="A8" s="5"/>
      <c r="B8" s="1"/>
      <c r="C8" s="21" t="str">
        <f t="array" ref="C8">(AVERAGE(INDIRECT(F20):INDIRECT(F21))+0.5*AVERAGE(INDIRECT(F22):INDIRECT(F23)))/(AVERAGE(INDIRECT(F24):INDIRECT(F25)))</f>
        <v>#REF!</v>
      </c>
      <c r="D8" s="1"/>
      <c r="E8" s="11" t="s">
        <v>192</v>
      </c>
      <c r="F8" s="12" t="str">
        <f>CONCATENATE("AE",E1-9)</f>
        <v>AE-8</v>
      </c>
      <c r="G8" s="5"/>
      <c r="H8" s="13" t="s">
        <v>57</v>
      </c>
      <c r="I8" s="13" t="s">
        <v>193</v>
      </c>
      <c r="J8" s="13" t="s">
        <v>46</v>
      </c>
      <c r="K8" s="13" t="s">
        <v>136</v>
      </c>
      <c r="L8" s="13" t="s">
        <v>48</v>
      </c>
      <c r="M8" s="13" t="s">
        <v>194</v>
      </c>
      <c r="N8" s="13" t="s">
        <v>84</v>
      </c>
      <c r="O8" s="13">
        <v>40.0</v>
      </c>
      <c r="P8" s="13">
        <v>87.0</v>
      </c>
      <c r="Q8" s="13" t="s">
        <v>195</v>
      </c>
      <c r="R8" s="13">
        <v>19.0</v>
      </c>
      <c r="S8" s="13" t="s">
        <v>196</v>
      </c>
      <c r="T8" s="13" t="s">
        <v>189</v>
      </c>
      <c r="U8" s="13">
        <v>12.0</v>
      </c>
      <c r="V8" s="13">
        <v>16.0</v>
      </c>
      <c r="W8" s="13" t="s">
        <v>167</v>
      </c>
      <c r="X8" s="13">
        <v>4.0</v>
      </c>
      <c r="Y8" s="13">
        <v>38.0</v>
      </c>
      <c r="Z8" s="13" t="s">
        <v>71</v>
      </c>
      <c r="AA8" s="13" t="s">
        <v>56</v>
      </c>
      <c r="AB8" s="13" t="s">
        <v>90</v>
      </c>
      <c r="AC8" s="13">
        <v>14.0</v>
      </c>
      <c r="AD8" s="13" t="s">
        <v>120</v>
      </c>
      <c r="AE8" s="13">
        <v>44.0</v>
      </c>
      <c r="AF8" s="13">
        <v>89.0</v>
      </c>
      <c r="AG8" s="13" t="s">
        <v>116</v>
      </c>
      <c r="AH8" s="13">
        <v>4.0</v>
      </c>
      <c r="AI8" s="13" t="s">
        <v>66</v>
      </c>
      <c r="AJ8" s="13" t="s">
        <v>197</v>
      </c>
      <c r="AK8" s="13">
        <v>18.0</v>
      </c>
      <c r="AL8" s="13">
        <v>23.0</v>
      </c>
      <c r="AM8" s="13" t="s">
        <v>198</v>
      </c>
      <c r="AN8" s="13">
        <v>9.0</v>
      </c>
      <c r="AO8" s="13">
        <v>52.0</v>
      </c>
      <c r="AP8" s="13" t="s">
        <v>55</v>
      </c>
      <c r="AQ8" s="13" t="s">
        <v>64</v>
      </c>
      <c r="AR8" s="13" t="s">
        <v>182</v>
      </c>
      <c r="AS8" s="13">
        <v>15.0</v>
      </c>
      <c r="AT8" s="13" t="s">
        <v>120</v>
      </c>
      <c r="AU8" s="13">
        <f>Sheet1!$Y8-Sheet1!$X8</f>
        <v>34</v>
      </c>
      <c r="AV8" s="13">
        <f>Sheet1!$AO8-Sheet1!$AN8</f>
        <v>43</v>
      </c>
      <c r="AW8" s="5"/>
      <c r="AX8" s="13">
        <v>7.0</v>
      </c>
      <c r="AY8" s="13" t="s">
        <v>174</v>
      </c>
      <c r="AZ8" s="13"/>
      <c r="BA8" s="13" t="s">
        <v>47</v>
      </c>
      <c r="BB8" s="13" t="s">
        <v>48</v>
      </c>
      <c r="BC8" s="13" t="s">
        <v>115</v>
      </c>
      <c r="BD8" s="13" t="s">
        <v>199</v>
      </c>
      <c r="BE8" s="13">
        <v>46.0</v>
      </c>
      <c r="BF8" s="13">
        <v>95.0</v>
      </c>
      <c r="BG8" s="13" t="s">
        <v>142</v>
      </c>
      <c r="BH8" s="13">
        <v>11.0</v>
      </c>
      <c r="BI8" s="13" t="s">
        <v>60</v>
      </c>
      <c r="BJ8" s="13" t="s">
        <v>200</v>
      </c>
      <c r="BK8" s="13">
        <v>15.0</v>
      </c>
      <c r="BL8" s="13">
        <v>23.0</v>
      </c>
      <c r="BM8" s="13" t="s">
        <v>201</v>
      </c>
      <c r="BN8" s="13">
        <v>14.0</v>
      </c>
      <c r="BO8" s="13">
        <v>55.0</v>
      </c>
      <c r="BP8" s="13" t="s">
        <v>117</v>
      </c>
      <c r="BQ8" s="13" t="s">
        <v>57</v>
      </c>
      <c r="BR8" s="13" t="s">
        <v>90</v>
      </c>
      <c r="BS8" s="13">
        <v>10.0</v>
      </c>
      <c r="BT8" s="13" t="s">
        <v>58</v>
      </c>
      <c r="BU8" s="13">
        <v>36.0</v>
      </c>
      <c r="BV8" s="13">
        <v>86.0</v>
      </c>
      <c r="BW8" s="13" t="s">
        <v>202</v>
      </c>
      <c r="BX8" s="13">
        <v>13.0</v>
      </c>
      <c r="BY8" s="13" t="s">
        <v>203</v>
      </c>
      <c r="BZ8" s="13" t="s">
        <v>141</v>
      </c>
      <c r="CA8" s="13">
        <v>16.0</v>
      </c>
      <c r="CB8" s="13">
        <v>22.0</v>
      </c>
      <c r="CC8" s="13" t="s">
        <v>103</v>
      </c>
      <c r="CD8" s="13">
        <v>8.0</v>
      </c>
      <c r="CE8" s="13">
        <v>47.0</v>
      </c>
      <c r="CF8" s="13" t="s">
        <v>204</v>
      </c>
      <c r="CG8" s="13" t="s">
        <v>77</v>
      </c>
      <c r="CH8" s="13" t="s">
        <v>77</v>
      </c>
      <c r="CI8" s="13">
        <v>16.0</v>
      </c>
      <c r="CJ8" s="13" t="s">
        <v>95</v>
      </c>
      <c r="CK8" s="13">
        <f>Sheet1!$BO8-Sheet1!$BN8</f>
        <v>41</v>
      </c>
      <c r="CL8" s="13">
        <f>Sheet1!$CE8-Sheet1!$CD8</f>
        <v>39</v>
      </c>
    </row>
    <row r="9" ht="14.25" customHeight="1">
      <c r="A9" s="22" t="s">
        <v>205</v>
      </c>
      <c r="B9" s="1"/>
      <c r="C9" s="14" t="s">
        <v>206</v>
      </c>
      <c r="D9" s="1"/>
      <c r="E9" s="11"/>
      <c r="F9" s="12" t="str">
        <f>CONCATENATE("AE",E1)</f>
        <v>AE1</v>
      </c>
      <c r="G9" s="5"/>
      <c r="H9" s="13" t="s">
        <v>65</v>
      </c>
      <c r="I9" s="13" t="s">
        <v>207</v>
      </c>
      <c r="J9" s="13" t="s">
        <v>46</v>
      </c>
      <c r="K9" s="13" t="s">
        <v>98</v>
      </c>
      <c r="L9" s="13" t="s">
        <v>48</v>
      </c>
      <c r="M9" s="13" t="s">
        <v>199</v>
      </c>
      <c r="N9" s="13" t="s">
        <v>99</v>
      </c>
      <c r="O9" s="13">
        <v>38.0</v>
      </c>
      <c r="P9" s="13">
        <v>87.0</v>
      </c>
      <c r="Q9" s="13" t="s">
        <v>208</v>
      </c>
      <c r="R9" s="13">
        <v>11.0</v>
      </c>
      <c r="S9" s="13" t="s">
        <v>117</v>
      </c>
      <c r="T9" s="13" t="s">
        <v>118</v>
      </c>
      <c r="U9" s="13">
        <v>14.0</v>
      </c>
      <c r="V9" s="13">
        <v>21.0</v>
      </c>
      <c r="W9" s="13" t="s">
        <v>209</v>
      </c>
      <c r="X9" s="13">
        <v>11.0</v>
      </c>
      <c r="Y9" s="13">
        <v>62.0</v>
      </c>
      <c r="Z9" s="13" t="s">
        <v>91</v>
      </c>
      <c r="AA9" s="13" t="s">
        <v>80</v>
      </c>
      <c r="AB9" s="13" t="s">
        <v>57</v>
      </c>
      <c r="AC9" s="13">
        <v>11.0</v>
      </c>
      <c r="AD9" s="13" t="s">
        <v>97</v>
      </c>
      <c r="AE9" s="13">
        <v>34.0</v>
      </c>
      <c r="AF9" s="13">
        <v>96.0</v>
      </c>
      <c r="AG9" s="13" t="s">
        <v>210</v>
      </c>
      <c r="AH9" s="13">
        <v>9.0</v>
      </c>
      <c r="AI9" s="13" t="s">
        <v>63</v>
      </c>
      <c r="AJ9" s="13" t="s">
        <v>141</v>
      </c>
      <c r="AK9" s="13">
        <v>12.0</v>
      </c>
      <c r="AL9" s="13">
        <v>20.0</v>
      </c>
      <c r="AM9" s="13" t="s">
        <v>211</v>
      </c>
      <c r="AN9" s="13">
        <v>11.0</v>
      </c>
      <c r="AO9" s="13">
        <v>49.0</v>
      </c>
      <c r="AP9" s="13" t="s">
        <v>97</v>
      </c>
      <c r="AQ9" s="13" t="s">
        <v>65</v>
      </c>
      <c r="AR9" s="13" t="s">
        <v>57</v>
      </c>
      <c r="AS9" s="13">
        <v>4.0</v>
      </c>
      <c r="AT9" s="13" t="s">
        <v>97</v>
      </c>
      <c r="AU9" s="13">
        <f>Sheet1!$Y9-Sheet1!$X9</f>
        <v>51</v>
      </c>
      <c r="AV9" s="13">
        <f>Sheet1!$AO9-Sheet1!$AN9</f>
        <v>38</v>
      </c>
      <c r="AW9" s="5"/>
      <c r="AX9" s="13">
        <v>8.0</v>
      </c>
      <c r="AY9" s="13" t="s">
        <v>193</v>
      </c>
      <c r="AZ9" s="13"/>
      <c r="BA9" s="13" t="s">
        <v>68</v>
      </c>
      <c r="BB9" s="13" t="s">
        <v>48</v>
      </c>
      <c r="BC9" s="13" t="s">
        <v>212</v>
      </c>
      <c r="BD9" s="13" t="s">
        <v>213</v>
      </c>
      <c r="BE9" s="13">
        <v>50.0</v>
      </c>
      <c r="BF9" s="13">
        <v>81.0</v>
      </c>
      <c r="BG9" s="13" t="s">
        <v>214</v>
      </c>
      <c r="BH9" s="13">
        <v>18.0</v>
      </c>
      <c r="BI9" s="13" t="s">
        <v>106</v>
      </c>
      <c r="BJ9" s="13" t="s">
        <v>215</v>
      </c>
      <c r="BK9" s="13">
        <v>23.0</v>
      </c>
      <c r="BL9" s="13">
        <v>33.0</v>
      </c>
      <c r="BM9" s="13" t="s">
        <v>216</v>
      </c>
      <c r="BN9" s="13">
        <v>1.0</v>
      </c>
      <c r="BO9" s="13">
        <v>35.0</v>
      </c>
      <c r="BP9" s="13" t="s">
        <v>170</v>
      </c>
      <c r="BQ9" s="13" t="s">
        <v>89</v>
      </c>
      <c r="BR9" s="13" t="s">
        <v>96</v>
      </c>
      <c r="BS9" s="13">
        <v>16.0</v>
      </c>
      <c r="BT9" s="13" t="s">
        <v>58</v>
      </c>
      <c r="BU9" s="13">
        <v>47.0</v>
      </c>
      <c r="BV9" s="13">
        <v>94.0</v>
      </c>
      <c r="BW9" s="13" t="s">
        <v>92</v>
      </c>
      <c r="BX9" s="13">
        <v>16.0</v>
      </c>
      <c r="BY9" s="13" t="s">
        <v>129</v>
      </c>
      <c r="BZ9" s="13" t="s">
        <v>217</v>
      </c>
      <c r="CA9" s="13">
        <v>26.0</v>
      </c>
      <c r="CB9" s="13">
        <v>35.0</v>
      </c>
      <c r="CC9" s="13" t="s">
        <v>218</v>
      </c>
      <c r="CD9" s="13">
        <v>9.0</v>
      </c>
      <c r="CE9" s="13">
        <v>35.0</v>
      </c>
      <c r="CF9" s="13" t="s">
        <v>63</v>
      </c>
      <c r="CG9" s="13" t="s">
        <v>89</v>
      </c>
      <c r="CH9" s="13" t="s">
        <v>80</v>
      </c>
      <c r="CI9" s="13">
        <v>13.0</v>
      </c>
      <c r="CJ9" s="13" t="s">
        <v>63</v>
      </c>
      <c r="CK9" s="13">
        <f>Sheet1!$BO9-Sheet1!$BN9</f>
        <v>34</v>
      </c>
      <c r="CL9" s="13">
        <f>Sheet1!$CE9-Sheet1!$CD9</f>
        <v>26</v>
      </c>
    </row>
    <row r="10" ht="14.25" customHeight="1">
      <c r="A10" s="23" t="s">
        <v>219</v>
      </c>
      <c r="B10" s="1"/>
      <c r="C10" s="10" t="str">
        <f t="array" ref="C10">AVERAGE(INDIRECT(F26):INDIRECT(F27))/(AVERAGE(INDIRECT(F6):INDIRECT(F7))-AVERAGE(INDIRECT(F28):INDIRECT(F29))+AVERAGE(INDIRECT(F26):INDIRECT(F27))+0.44*AVERAGE(INDIRECT(F30):INDIRECT(F31)))</f>
        <v>#REF!</v>
      </c>
      <c r="D10" s="1"/>
      <c r="E10" s="11" t="s">
        <v>220</v>
      </c>
      <c r="F10" s="12" t="str">
        <f>CONCATENATE("AH",E1-9)</f>
        <v>AH-8</v>
      </c>
      <c r="G10" s="5"/>
      <c r="H10" s="13" t="s">
        <v>89</v>
      </c>
      <c r="I10" s="13" t="s">
        <v>221</v>
      </c>
      <c r="J10" s="13" t="s">
        <v>46</v>
      </c>
      <c r="K10" s="13" t="s">
        <v>222</v>
      </c>
      <c r="L10" s="13" t="s">
        <v>48</v>
      </c>
      <c r="M10" s="13" t="s">
        <v>223</v>
      </c>
      <c r="N10" s="13" t="s">
        <v>168</v>
      </c>
      <c r="O10" s="13">
        <v>49.0</v>
      </c>
      <c r="P10" s="13">
        <v>90.0</v>
      </c>
      <c r="Q10" s="13" t="s">
        <v>224</v>
      </c>
      <c r="R10" s="13">
        <v>15.0</v>
      </c>
      <c r="S10" s="13" t="s">
        <v>203</v>
      </c>
      <c r="T10" s="13" t="s">
        <v>225</v>
      </c>
      <c r="U10" s="13">
        <v>16.0</v>
      </c>
      <c r="V10" s="13">
        <v>17.0</v>
      </c>
      <c r="W10" s="13" t="s">
        <v>226</v>
      </c>
      <c r="X10" s="13">
        <v>3.0</v>
      </c>
      <c r="Y10" s="13">
        <v>34.0</v>
      </c>
      <c r="Z10" s="13" t="s">
        <v>95</v>
      </c>
      <c r="AA10" s="13" t="s">
        <v>124</v>
      </c>
      <c r="AB10" s="13" t="s">
        <v>77</v>
      </c>
      <c r="AC10" s="13">
        <v>10.0</v>
      </c>
      <c r="AD10" s="13" t="s">
        <v>66</v>
      </c>
      <c r="AE10" s="13">
        <v>43.0</v>
      </c>
      <c r="AF10" s="13">
        <v>85.0</v>
      </c>
      <c r="AG10" s="13" t="s">
        <v>227</v>
      </c>
      <c r="AH10" s="13">
        <v>10.0</v>
      </c>
      <c r="AI10" s="13" t="s">
        <v>117</v>
      </c>
      <c r="AJ10" s="13" t="s">
        <v>228</v>
      </c>
      <c r="AK10" s="13">
        <v>20.0</v>
      </c>
      <c r="AL10" s="13">
        <v>24.0</v>
      </c>
      <c r="AM10" s="13" t="s">
        <v>229</v>
      </c>
      <c r="AN10" s="13">
        <v>6.0</v>
      </c>
      <c r="AO10" s="13">
        <v>43.0</v>
      </c>
      <c r="AP10" s="13" t="s">
        <v>109</v>
      </c>
      <c r="AQ10" s="13" t="s">
        <v>112</v>
      </c>
      <c r="AR10" s="13" t="s">
        <v>80</v>
      </c>
      <c r="AS10" s="13">
        <v>17.0</v>
      </c>
      <c r="AT10" s="13" t="s">
        <v>120</v>
      </c>
      <c r="AU10" s="13">
        <f>Sheet1!$Y10-Sheet1!$X10</f>
        <v>31</v>
      </c>
      <c r="AV10" s="13">
        <f>Sheet1!$AO10-Sheet1!$AN10</f>
        <v>37</v>
      </c>
      <c r="AW10" s="5"/>
      <c r="AX10" s="13">
        <v>9.0</v>
      </c>
      <c r="AY10" s="13" t="s">
        <v>230</v>
      </c>
      <c r="AZ10" s="13" t="s">
        <v>46</v>
      </c>
      <c r="BA10" s="13" t="s">
        <v>222</v>
      </c>
      <c r="BB10" s="13" t="s">
        <v>83</v>
      </c>
      <c r="BC10" s="13" t="s">
        <v>49</v>
      </c>
      <c r="BD10" s="13" t="s">
        <v>231</v>
      </c>
      <c r="BE10" s="13">
        <v>41.0</v>
      </c>
      <c r="BF10" s="13">
        <v>87.0</v>
      </c>
      <c r="BG10" s="13" t="s">
        <v>70</v>
      </c>
      <c r="BH10" s="13">
        <v>9.0</v>
      </c>
      <c r="BI10" s="13" t="s">
        <v>78</v>
      </c>
      <c r="BJ10" s="13" t="s">
        <v>232</v>
      </c>
      <c r="BK10" s="13">
        <v>18.0</v>
      </c>
      <c r="BL10" s="13">
        <v>20.0</v>
      </c>
      <c r="BM10" s="13" t="s">
        <v>233</v>
      </c>
      <c r="BN10" s="13">
        <v>4.0</v>
      </c>
      <c r="BO10" s="13">
        <v>47.0</v>
      </c>
      <c r="BP10" s="13" t="s">
        <v>109</v>
      </c>
      <c r="BQ10" s="13" t="s">
        <v>96</v>
      </c>
      <c r="BR10" s="13" t="s">
        <v>96</v>
      </c>
      <c r="BS10" s="13">
        <v>20.0</v>
      </c>
      <c r="BT10" s="13" t="s">
        <v>55</v>
      </c>
      <c r="BU10" s="13">
        <v>44.0</v>
      </c>
      <c r="BV10" s="13">
        <v>97.0</v>
      </c>
      <c r="BW10" s="13" t="s">
        <v>234</v>
      </c>
      <c r="BX10" s="13">
        <v>15.0</v>
      </c>
      <c r="BY10" s="13" t="s">
        <v>129</v>
      </c>
      <c r="BZ10" s="13" t="s">
        <v>235</v>
      </c>
      <c r="CA10" s="13">
        <v>19.0</v>
      </c>
      <c r="CB10" s="13">
        <v>29.0</v>
      </c>
      <c r="CC10" s="13" t="s">
        <v>236</v>
      </c>
      <c r="CD10" s="13">
        <v>11.0</v>
      </c>
      <c r="CE10" s="13">
        <v>48.0</v>
      </c>
      <c r="CF10" s="13" t="s">
        <v>204</v>
      </c>
      <c r="CG10" s="13" t="s">
        <v>64</v>
      </c>
      <c r="CH10" s="13" t="s">
        <v>57</v>
      </c>
      <c r="CI10" s="13">
        <v>12.0</v>
      </c>
      <c r="CJ10" s="13" t="s">
        <v>164</v>
      </c>
      <c r="CK10" s="13">
        <f>Sheet1!$BO10-Sheet1!$BN10</f>
        <v>43</v>
      </c>
      <c r="CL10" s="13">
        <f>Sheet1!$CE10-Sheet1!$CD10</f>
        <v>37</v>
      </c>
    </row>
    <row r="11" ht="14.25" customHeight="1">
      <c r="A11" s="18" t="s">
        <v>155</v>
      </c>
      <c r="B11" s="1"/>
      <c r="C11" s="14" t="s">
        <v>237</v>
      </c>
      <c r="D11" s="1"/>
      <c r="E11" s="11"/>
      <c r="F11" s="12" t="str">
        <f>CONCATENATE("AH",E1)</f>
        <v>AH1</v>
      </c>
      <c r="G11" s="5"/>
      <c r="H11" s="13" t="s">
        <v>56</v>
      </c>
      <c r="I11" s="13" t="s">
        <v>238</v>
      </c>
      <c r="J11" s="13"/>
      <c r="K11" s="13" t="s">
        <v>239</v>
      </c>
      <c r="L11" s="13" t="s">
        <v>83</v>
      </c>
      <c r="M11" s="13" t="s">
        <v>240</v>
      </c>
      <c r="N11" s="13" t="s">
        <v>184</v>
      </c>
      <c r="O11" s="13">
        <v>36.0</v>
      </c>
      <c r="P11" s="13">
        <v>83.0</v>
      </c>
      <c r="Q11" s="13" t="s">
        <v>241</v>
      </c>
      <c r="R11" s="13">
        <v>7.0</v>
      </c>
      <c r="S11" s="13" t="s">
        <v>78</v>
      </c>
      <c r="T11" s="13" t="s">
        <v>242</v>
      </c>
      <c r="U11" s="13">
        <v>23.0</v>
      </c>
      <c r="V11" s="13">
        <v>29.0</v>
      </c>
      <c r="W11" s="13" t="s">
        <v>243</v>
      </c>
      <c r="X11" s="13">
        <v>7.0</v>
      </c>
      <c r="Y11" s="13">
        <v>52.0</v>
      </c>
      <c r="Z11" s="13" t="s">
        <v>120</v>
      </c>
      <c r="AA11" s="13" t="s">
        <v>44</v>
      </c>
      <c r="AB11" s="13" t="s">
        <v>90</v>
      </c>
      <c r="AC11" s="13">
        <v>13.0</v>
      </c>
      <c r="AD11" s="13" t="s">
        <v>104</v>
      </c>
      <c r="AE11" s="13">
        <v>41.0</v>
      </c>
      <c r="AF11" s="13">
        <v>95.0</v>
      </c>
      <c r="AG11" s="13" t="s">
        <v>217</v>
      </c>
      <c r="AH11" s="13">
        <v>10.0</v>
      </c>
      <c r="AI11" s="13" t="s">
        <v>186</v>
      </c>
      <c r="AJ11" s="13" t="s">
        <v>72</v>
      </c>
      <c r="AK11" s="13">
        <v>20.0</v>
      </c>
      <c r="AL11" s="13">
        <v>22.0</v>
      </c>
      <c r="AM11" s="13" t="s">
        <v>244</v>
      </c>
      <c r="AN11" s="13">
        <v>7.0</v>
      </c>
      <c r="AO11" s="13">
        <v>46.0</v>
      </c>
      <c r="AP11" s="13" t="s">
        <v>78</v>
      </c>
      <c r="AQ11" s="13" t="s">
        <v>65</v>
      </c>
      <c r="AR11" s="13" t="s">
        <v>90</v>
      </c>
      <c r="AS11" s="13">
        <v>4.0</v>
      </c>
      <c r="AT11" s="13" t="s">
        <v>104</v>
      </c>
      <c r="AU11" s="13">
        <f>Sheet1!$Y11-Sheet1!$X11</f>
        <v>45</v>
      </c>
      <c r="AV11" s="13">
        <f>Sheet1!$AO11-Sheet1!$AN11</f>
        <v>39</v>
      </c>
      <c r="AW11" s="5"/>
      <c r="AX11" s="13">
        <v>10.0</v>
      </c>
      <c r="AY11" s="13" t="s">
        <v>245</v>
      </c>
      <c r="AZ11" s="13"/>
      <c r="BA11" s="13" t="s">
        <v>246</v>
      </c>
      <c r="BB11" s="13" t="s">
        <v>83</v>
      </c>
      <c r="BC11" s="13" t="s">
        <v>247</v>
      </c>
      <c r="BD11" s="13" t="s">
        <v>248</v>
      </c>
      <c r="BE11" s="13">
        <v>43.0</v>
      </c>
      <c r="BF11" s="13">
        <v>103.0</v>
      </c>
      <c r="BG11" s="13" t="s">
        <v>249</v>
      </c>
      <c r="BH11" s="13">
        <v>11.0</v>
      </c>
      <c r="BI11" s="13" t="s">
        <v>186</v>
      </c>
      <c r="BJ11" s="13" t="s">
        <v>250</v>
      </c>
      <c r="BK11" s="13">
        <v>6.0</v>
      </c>
      <c r="BL11" s="13">
        <v>10.0</v>
      </c>
      <c r="BM11" s="13" t="s">
        <v>211</v>
      </c>
      <c r="BN11" s="13">
        <v>20.0</v>
      </c>
      <c r="BO11" s="13">
        <v>48.0</v>
      </c>
      <c r="BP11" s="13" t="s">
        <v>109</v>
      </c>
      <c r="BQ11" s="13" t="s">
        <v>65</v>
      </c>
      <c r="BR11" s="13" t="s">
        <v>77</v>
      </c>
      <c r="BS11" s="13">
        <v>16.0</v>
      </c>
      <c r="BT11" s="13" t="s">
        <v>97</v>
      </c>
      <c r="BU11" s="13">
        <v>45.0</v>
      </c>
      <c r="BV11" s="13">
        <v>90.0</v>
      </c>
      <c r="BW11" s="13" t="s">
        <v>92</v>
      </c>
      <c r="BX11" s="13">
        <v>12.0</v>
      </c>
      <c r="BY11" s="13" t="s">
        <v>170</v>
      </c>
      <c r="BZ11" s="13" t="s">
        <v>251</v>
      </c>
      <c r="CA11" s="13">
        <v>13.0</v>
      </c>
      <c r="CB11" s="13">
        <v>15.0</v>
      </c>
      <c r="CC11" s="13" t="s">
        <v>171</v>
      </c>
      <c r="CD11" s="13">
        <v>15.0</v>
      </c>
      <c r="CE11" s="13">
        <v>45.0</v>
      </c>
      <c r="CF11" s="13" t="s">
        <v>71</v>
      </c>
      <c r="CG11" s="13" t="s">
        <v>64</v>
      </c>
      <c r="CH11" s="13" t="s">
        <v>57</v>
      </c>
      <c r="CI11" s="13">
        <v>17.0</v>
      </c>
      <c r="CJ11" s="13" t="s">
        <v>124</v>
      </c>
      <c r="CK11" s="13">
        <f>Sheet1!$BO11-Sheet1!$BN11</f>
        <v>28</v>
      </c>
      <c r="CL11" s="13">
        <f>Sheet1!$CE11-Sheet1!$CD11</f>
        <v>30</v>
      </c>
    </row>
    <row r="12" ht="14.25" customHeight="1">
      <c r="A12" s="20" t="str">
        <f>CONCATENATE("https://www.basketball-reference.com/teams/",A10,"/2021/gamelog/")</f>
        <v>https://www.basketball-reference.com/teams/PHI/2021/gamelog/</v>
      </c>
      <c r="B12" s="1"/>
      <c r="C12" s="15" t="str">
        <f t="array" ref="C12">AVERAGE(INDIRECT(F32):INDIRECT(F33))/(AVERAGE(INDIRECT(F12):INDIRECT(F13))-AVERAGE(INDIRECT(F34):INDIRECT(F35))+AVERAGE(INDIRECT(F32):INDIRECT(F33))+0.44*AVERAGE(INDIRECT(F36):INDIRECT(F37)))</f>
        <v>#REF!</v>
      </c>
      <c r="D12" s="1"/>
      <c r="E12" s="11" t="s">
        <v>252</v>
      </c>
      <c r="F12" s="12" t="str">
        <f>CONCATENATE("AF",E1-9)</f>
        <v>AF-8</v>
      </c>
      <c r="G12" s="5"/>
      <c r="H12" s="13" t="s">
        <v>64</v>
      </c>
      <c r="I12" s="13" t="s">
        <v>253</v>
      </c>
      <c r="J12" s="13"/>
      <c r="K12" s="13" t="s">
        <v>254</v>
      </c>
      <c r="L12" s="13" t="s">
        <v>83</v>
      </c>
      <c r="M12" s="13" t="s">
        <v>159</v>
      </c>
      <c r="N12" s="13" t="s">
        <v>255</v>
      </c>
      <c r="O12" s="13">
        <v>37.0</v>
      </c>
      <c r="P12" s="13">
        <v>86.0</v>
      </c>
      <c r="Q12" s="13" t="s">
        <v>256</v>
      </c>
      <c r="R12" s="13">
        <v>10.0</v>
      </c>
      <c r="S12" s="13" t="s">
        <v>101</v>
      </c>
      <c r="T12" s="13" t="s">
        <v>257</v>
      </c>
      <c r="U12" s="13">
        <v>15.0</v>
      </c>
      <c r="V12" s="13">
        <v>19.0</v>
      </c>
      <c r="W12" s="13" t="s">
        <v>258</v>
      </c>
      <c r="X12" s="13">
        <v>9.0</v>
      </c>
      <c r="Y12" s="13">
        <v>42.0</v>
      </c>
      <c r="Z12" s="13" t="s">
        <v>109</v>
      </c>
      <c r="AA12" s="13" t="s">
        <v>77</v>
      </c>
      <c r="AB12" s="13" t="s">
        <v>96</v>
      </c>
      <c r="AC12" s="13">
        <v>11.0</v>
      </c>
      <c r="AD12" s="13" t="s">
        <v>58</v>
      </c>
      <c r="AE12" s="13">
        <v>47.0</v>
      </c>
      <c r="AF12" s="13">
        <v>95.0</v>
      </c>
      <c r="AG12" s="13" t="s">
        <v>259</v>
      </c>
      <c r="AH12" s="13">
        <v>17.0</v>
      </c>
      <c r="AI12" s="13" t="s">
        <v>129</v>
      </c>
      <c r="AJ12" s="13" t="s">
        <v>74</v>
      </c>
      <c r="AK12" s="13">
        <v>17.0</v>
      </c>
      <c r="AL12" s="13">
        <v>22.0</v>
      </c>
      <c r="AM12" s="13" t="s">
        <v>260</v>
      </c>
      <c r="AN12" s="13">
        <v>12.0</v>
      </c>
      <c r="AO12" s="13">
        <v>50.0</v>
      </c>
      <c r="AP12" s="13" t="s">
        <v>78</v>
      </c>
      <c r="AQ12" s="13" t="s">
        <v>96</v>
      </c>
      <c r="AR12" s="13" t="s">
        <v>96</v>
      </c>
      <c r="AS12" s="13">
        <v>9.0</v>
      </c>
      <c r="AT12" s="13" t="s">
        <v>91</v>
      </c>
      <c r="AU12" s="13">
        <f>Sheet1!$Y12-Sheet1!$X12</f>
        <v>33</v>
      </c>
      <c r="AV12" s="13">
        <f>Sheet1!$AO12-Sheet1!$AN12</f>
        <v>38</v>
      </c>
      <c r="AW12" s="5"/>
      <c r="AX12" s="13">
        <v>11.0</v>
      </c>
      <c r="AY12" s="13" t="s">
        <v>261</v>
      </c>
      <c r="AZ12" s="13" t="s">
        <v>46</v>
      </c>
      <c r="BA12" s="13" t="s">
        <v>262</v>
      </c>
      <c r="BB12" s="13" t="s">
        <v>83</v>
      </c>
      <c r="BC12" s="13" t="s">
        <v>127</v>
      </c>
      <c r="BD12" s="13" t="s">
        <v>184</v>
      </c>
      <c r="BE12" s="13">
        <v>37.0</v>
      </c>
      <c r="BF12" s="13">
        <v>92.0</v>
      </c>
      <c r="BG12" s="13" t="s">
        <v>263</v>
      </c>
      <c r="BH12" s="13">
        <v>8.0</v>
      </c>
      <c r="BI12" s="13" t="s">
        <v>52</v>
      </c>
      <c r="BJ12" s="13" t="s">
        <v>264</v>
      </c>
      <c r="BK12" s="13">
        <v>12.0</v>
      </c>
      <c r="BL12" s="13">
        <v>13.0</v>
      </c>
      <c r="BM12" s="13" t="s">
        <v>265</v>
      </c>
      <c r="BN12" s="13">
        <v>9.0</v>
      </c>
      <c r="BO12" s="13">
        <v>50.0</v>
      </c>
      <c r="BP12" s="13" t="s">
        <v>104</v>
      </c>
      <c r="BQ12" s="13" t="s">
        <v>80</v>
      </c>
      <c r="BR12" s="13" t="s">
        <v>124</v>
      </c>
      <c r="BS12" s="13">
        <v>9.0</v>
      </c>
      <c r="BT12" s="13" t="s">
        <v>164</v>
      </c>
      <c r="BU12" s="13">
        <v>37.0</v>
      </c>
      <c r="BV12" s="13">
        <v>99.0</v>
      </c>
      <c r="BW12" s="13" t="s">
        <v>266</v>
      </c>
      <c r="BX12" s="13">
        <v>17.0</v>
      </c>
      <c r="BY12" s="13" t="s">
        <v>267</v>
      </c>
      <c r="BZ12" s="13" t="s">
        <v>105</v>
      </c>
      <c r="CA12" s="13">
        <v>21.0</v>
      </c>
      <c r="CB12" s="13">
        <v>27.0</v>
      </c>
      <c r="CC12" s="13" t="s">
        <v>268</v>
      </c>
      <c r="CD12" s="13">
        <v>14.0</v>
      </c>
      <c r="CE12" s="13">
        <v>58.0</v>
      </c>
      <c r="CF12" s="13" t="s">
        <v>104</v>
      </c>
      <c r="CG12" s="13" t="s">
        <v>57</v>
      </c>
      <c r="CH12" s="13" t="s">
        <v>112</v>
      </c>
      <c r="CI12" s="13">
        <v>8.0</v>
      </c>
      <c r="CJ12" s="13" t="s">
        <v>132</v>
      </c>
      <c r="CK12" s="13">
        <f>Sheet1!$BO12-Sheet1!$BN12</f>
        <v>41</v>
      </c>
      <c r="CL12" s="13">
        <f>Sheet1!$CE12-Sheet1!$CD12</f>
        <v>44</v>
      </c>
    </row>
    <row r="13" ht="14.25" customHeight="1">
      <c r="B13" s="1"/>
      <c r="C13" s="17" t="s">
        <v>269</v>
      </c>
      <c r="D13" s="1"/>
      <c r="E13" s="11"/>
      <c r="F13" s="12" t="str">
        <f>CONCATENATE("AF",E1)</f>
        <v>AF1</v>
      </c>
      <c r="G13" s="5"/>
      <c r="H13" s="13" t="s">
        <v>124</v>
      </c>
      <c r="I13" s="13" t="s">
        <v>270</v>
      </c>
      <c r="J13" s="13"/>
      <c r="K13" s="13" t="s">
        <v>271</v>
      </c>
      <c r="L13" s="13" t="s">
        <v>48</v>
      </c>
      <c r="M13" s="13" t="s">
        <v>183</v>
      </c>
      <c r="N13" s="13" t="s">
        <v>272</v>
      </c>
      <c r="O13" s="13">
        <v>48.0</v>
      </c>
      <c r="P13" s="13">
        <v>105.0</v>
      </c>
      <c r="Q13" s="13" t="s">
        <v>187</v>
      </c>
      <c r="R13" s="13">
        <v>15.0</v>
      </c>
      <c r="S13" s="13" t="s">
        <v>152</v>
      </c>
      <c r="T13" s="13" t="s">
        <v>141</v>
      </c>
      <c r="U13" s="13">
        <v>16.0</v>
      </c>
      <c r="V13" s="13">
        <v>24.0</v>
      </c>
      <c r="W13" s="13" t="s">
        <v>209</v>
      </c>
      <c r="X13" s="13">
        <v>7.0</v>
      </c>
      <c r="Y13" s="13">
        <v>44.0</v>
      </c>
      <c r="Z13" s="13" t="s">
        <v>78</v>
      </c>
      <c r="AA13" s="13" t="s">
        <v>124</v>
      </c>
      <c r="AB13" s="13" t="s">
        <v>80</v>
      </c>
      <c r="AC13" s="13">
        <v>11.0</v>
      </c>
      <c r="AD13" s="13" t="s">
        <v>109</v>
      </c>
      <c r="AE13" s="13">
        <v>43.0</v>
      </c>
      <c r="AF13" s="13">
        <v>91.0</v>
      </c>
      <c r="AG13" s="13" t="s">
        <v>273</v>
      </c>
      <c r="AH13" s="13">
        <v>21.0</v>
      </c>
      <c r="AI13" s="13" t="s">
        <v>196</v>
      </c>
      <c r="AJ13" s="13" t="s">
        <v>187</v>
      </c>
      <c r="AK13" s="13">
        <v>18.0</v>
      </c>
      <c r="AL13" s="13">
        <v>25.0</v>
      </c>
      <c r="AM13" s="13" t="s">
        <v>274</v>
      </c>
      <c r="AN13" s="13">
        <v>9.0</v>
      </c>
      <c r="AO13" s="13">
        <v>56.0</v>
      </c>
      <c r="AP13" s="13" t="s">
        <v>63</v>
      </c>
      <c r="AQ13" s="13" t="s">
        <v>90</v>
      </c>
      <c r="AR13" s="13" t="s">
        <v>65</v>
      </c>
      <c r="AS13" s="13">
        <v>24.0</v>
      </c>
      <c r="AT13" s="13" t="s">
        <v>55</v>
      </c>
      <c r="AU13" s="13">
        <f>Sheet1!$Y13-Sheet1!$X13</f>
        <v>37</v>
      </c>
      <c r="AV13" s="13">
        <f>Sheet1!$AO13-Sheet1!$AN13</f>
        <v>47</v>
      </c>
      <c r="AW13" s="5"/>
      <c r="AX13" s="13">
        <v>12.0</v>
      </c>
      <c r="AY13" s="13" t="s">
        <v>238</v>
      </c>
      <c r="AZ13" s="13"/>
      <c r="BA13" s="13" t="s">
        <v>175</v>
      </c>
      <c r="BB13" s="13" t="s">
        <v>48</v>
      </c>
      <c r="BC13" s="13" t="s">
        <v>275</v>
      </c>
      <c r="BD13" s="13" t="s">
        <v>276</v>
      </c>
      <c r="BE13" s="13">
        <v>50.0</v>
      </c>
      <c r="BF13" s="13">
        <v>102.0</v>
      </c>
      <c r="BG13" s="13" t="s">
        <v>277</v>
      </c>
      <c r="BH13" s="13">
        <v>19.0</v>
      </c>
      <c r="BI13" s="13" t="s">
        <v>278</v>
      </c>
      <c r="BJ13" s="13" t="s">
        <v>279</v>
      </c>
      <c r="BK13" s="13">
        <v>18.0</v>
      </c>
      <c r="BL13" s="13">
        <v>25.0</v>
      </c>
      <c r="BM13" s="13" t="s">
        <v>274</v>
      </c>
      <c r="BN13" s="13">
        <v>16.0</v>
      </c>
      <c r="BO13" s="13">
        <v>52.0</v>
      </c>
      <c r="BP13" s="13" t="s">
        <v>60</v>
      </c>
      <c r="BQ13" s="13" t="s">
        <v>56</v>
      </c>
      <c r="BR13" s="13" t="s">
        <v>96</v>
      </c>
      <c r="BS13" s="13">
        <v>17.0</v>
      </c>
      <c r="BT13" s="13" t="s">
        <v>58</v>
      </c>
      <c r="BU13" s="13">
        <v>48.0</v>
      </c>
      <c r="BV13" s="13">
        <v>104.0</v>
      </c>
      <c r="BW13" s="13" t="s">
        <v>280</v>
      </c>
      <c r="BX13" s="13">
        <v>19.0</v>
      </c>
      <c r="BY13" s="13" t="s">
        <v>281</v>
      </c>
      <c r="BZ13" s="13" t="s">
        <v>282</v>
      </c>
      <c r="CA13" s="13">
        <v>19.0</v>
      </c>
      <c r="CB13" s="13">
        <v>24.0</v>
      </c>
      <c r="CC13" s="13" t="s">
        <v>54</v>
      </c>
      <c r="CD13" s="13">
        <v>14.0</v>
      </c>
      <c r="CE13" s="13">
        <v>46.0</v>
      </c>
      <c r="CF13" s="13" t="s">
        <v>63</v>
      </c>
      <c r="CG13" s="13" t="s">
        <v>96</v>
      </c>
      <c r="CH13" s="13" t="s">
        <v>77</v>
      </c>
      <c r="CI13" s="13">
        <v>18.0</v>
      </c>
      <c r="CJ13" s="13" t="s">
        <v>58</v>
      </c>
      <c r="CK13" s="13">
        <f>Sheet1!$BO13-Sheet1!$BN13</f>
        <v>36</v>
      </c>
      <c r="CL13" s="13">
        <f>Sheet1!$CE13-Sheet1!$CD13</f>
        <v>32</v>
      </c>
    </row>
    <row r="14" ht="14.25" customHeight="1">
      <c r="A14" s="24" t="s">
        <v>283</v>
      </c>
      <c r="B14" s="1"/>
      <c r="C14" s="19" t="str">
        <f t="array" ref="C14">AVERAGE(INDIRECT(F38):INDIRECT(F39))/(AVERAGE(INDIRECT(F18):INDIRECT(F19))-AVERAGE(INDIRECT(F40):INDIRECT(F41))+AVERAGE(INDIRECT(F38):INDIRECT(F39))+0.44*AVERAGE(INDIRECT(F42):INDIRECT(F43)))</f>
        <v>#REF!</v>
      </c>
      <c r="D14" s="1"/>
      <c r="E14" s="25" t="s">
        <v>284</v>
      </c>
      <c r="F14" s="26" t="str">
        <f>CONCATENATE("BE",F1-9)</f>
        <v>BE-8</v>
      </c>
      <c r="G14" s="5"/>
      <c r="H14" s="13" t="s">
        <v>132</v>
      </c>
      <c r="I14" s="13" t="s">
        <v>285</v>
      </c>
      <c r="J14" s="13" t="s">
        <v>46</v>
      </c>
      <c r="K14" s="13" t="s">
        <v>246</v>
      </c>
      <c r="L14" s="13" t="s">
        <v>83</v>
      </c>
      <c r="M14" s="13" t="s">
        <v>199</v>
      </c>
      <c r="N14" s="13" t="s">
        <v>286</v>
      </c>
      <c r="O14" s="13">
        <v>36.0</v>
      </c>
      <c r="P14" s="13">
        <v>86.0</v>
      </c>
      <c r="Q14" s="13" t="s">
        <v>202</v>
      </c>
      <c r="R14" s="13">
        <v>14.0</v>
      </c>
      <c r="S14" s="13" t="s">
        <v>287</v>
      </c>
      <c r="T14" s="13" t="s">
        <v>288</v>
      </c>
      <c r="U14" s="13">
        <v>15.0</v>
      </c>
      <c r="V14" s="13">
        <v>23.0</v>
      </c>
      <c r="W14" s="13" t="s">
        <v>201</v>
      </c>
      <c r="X14" s="13">
        <v>9.0</v>
      </c>
      <c r="Y14" s="13">
        <v>41.0</v>
      </c>
      <c r="Z14" s="13" t="s">
        <v>66</v>
      </c>
      <c r="AA14" s="13" t="s">
        <v>65</v>
      </c>
      <c r="AB14" s="13" t="s">
        <v>77</v>
      </c>
      <c r="AC14" s="13">
        <v>19.0</v>
      </c>
      <c r="AD14" s="13" t="s">
        <v>150</v>
      </c>
      <c r="AE14" s="13">
        <v>46.0</v>
      </c>
      <c r="AF14" s="13">
        <v>105.0</v>
      </c>
      <c r="AG14" s="13" t="s">
        <v>289</v>
      </c>
      <c r="AH14" s="13">
        <v>14.0</v>
      </c>
      <c r="AI14" s="13" t="s">
        <v>290</v>
      </c>
      <c r="AJ14" s="13" t="s">
        <v>141</v>
      </c>
      <c r="AK14" s="13">
        <v>13.0</v>
      </c>
      <c r="AL14" s="13">
        <v>14.0</v>
      </c>
      <c r="AM14" s="13" t="s">
        <v>291</v>
      </c>
      <c r="AN14" s="13">
        <v>18.0</v>
      </c>
      <c r="AO14" s="13">
        <v>58.0</v>
      </c>
      <c r="AP14" s="13" t="s">
        <v>106</v>
      </c>
      <c r="AQ14" s="13" t="s">
        <v>64</v>
      </c>
      <c r="AR14" s="13" t="s">
        <v>112</v>
      </c>
      <c r="AS14" s="13">
        <v>14.0</v>
      </c>
      <c r="AT14" s="13" t="s">
        <v>66</v>
      </c>
      <c r="AU14" s="13">
        <f>Sheet1!$Y14-Sheet1!$X14</f>
        <v>32</v>
      </c>
      <c r="AV14" s="13">
        <f>Sheet1!$AO14-Sheet1!$AN14</f>
        <v>40</v>
      </c>
      <c r="AW14" s="5"/>
      <c r="AX14" s="13">
        <v>13.0</v>
      </c>
      <c r="AY14" s="13" t="s">
        <v>292</v>
      </c>
      <c r="AZ14" s="13"/>
      <c r="BA14" s="13" t="s">
        <v>175</v>
      </c>
      <c r="BB14" s="13" t="s">
        <v>48</v>
      </c>
      <c r="BC14" s="13" t="s">
        <v>272</v>
      </c>
      <c r="BD14" s="13" t="s">
        <v>158</v>
      </c>
      <c r="BE14" s="13">
        <v>44.0</v>
      </c>
      <c r="BF14" s="13">
        <v>82.0</v>
      </c>
      <c r="BG14" s="13" t="s">
        <v>293</v>
      </c>
      <c r="BH14" s="13">
        <v>17.0</v>
      </c>
      <c r="BI14" s="13" t="s">
        <v>129</v>
      </c>
      <c r="BJ14" s="13" t="s">
        <v>74</v>
      </c>
      <c r="BK14" s="13">
        <v>20.0</v>
      </c>
      <c r="BL14" s="13">
        <v>24.0</v>
      </c>
      <c r="BM14" s="13" t="s">
        <v>229</v>
      </c>
      <c r="BN14" s="13">
        <v>5.0</v>
      </c>
      <c r="BO14" s="13">
        <v>35.0</v>
      </c>
      <c r="BP14" s="13" t="s">
        <v>63</v>
      </c>
      <c r="BQ14" s="13" t="s">
        <v>150</v>
      </c>
      <c r="BR14" s="13" t="s">
        <v>112</v>
      </c>
      <c r="BS14" s="13">
        <v>18.0</v>
      </c>
      <c r="BT14" s="13" t="s">
        <v>66</v>
      </c>
      <c r="BU14" s="13">
        <v>40.0</v>
      </c>
      <c r="BV14" s="13">
        <v>81.0</v>
      </c>
      <c r="BW14" s="13" t="s">
        <v>116</v>
      </c>
      <c r="BX14" s="13">
        <v>12.0</v>
      </c>
      <c r="BY14" s="13" t="s">
        <v>117</v>
      </c>
      <c r="BZ14" s="13" t="s">
        <v>294</v>
      </c>
      <c r="CA14" s="13">
        <v>16.0</v>
      </c>
      <c r="CB14" s="13">
        <v>26.0</v>
      </c>
      <c r="CC14" s="13" t="s">
        <v>295</v>
      </c>
      <c r="CD14" s="13">
        <v>9.0</v>
      </c>
      <c r="CE14" s="13">
        <v>41.0</v>
      </c>
      <c r="CF14" s="13" t="s">
        <v>71</v>
      </c>
      <c r="CG14" s="13" t="s">
        <v>77</v>
      </c>
      <c r="CH14" s="13" t="s">
        <v>44</v>
      </c>
      <c r="CI14" s="13">
        <v>20.0</v>
      </c>
      <c r="CJ14" s="13" t="s">
        <v>97</v>
      </c>
      <c r="CK14" s="13">
        <f>Sheet1!$BO14-Sheet1!$BN14</f>
        <v>30</v>
      </c>
      <c r="CL14" s="13">
        <f>Sheet1!$CE14-Sheet1!$CD14</f>
        <v>32</v>
      </c>
    </row>
    <row r="15" ht="14.25" customHeight="1">
      <c r="A15" s="27">
        <v>2.5</v>
      </c>
      <c r="B15" s="1"/>
      <c r="C15" s="17" t="s">
        <v>296</v>
      </c>
      <c r="D15" s="1"/>
      <c r="E15" s="25"/>
      <c r="F15" s="26" t="str">
        <f>CONCATENATE("BE",F1)</f>
        <v>BE1</v>
      </c>
      <c r="G15" s="5"/>
      <c r="H15" s="13" t="s">
        <v>297</v>
      </c>
      <c r="I15" s="13" t="s">
        <v>298</v>
      </c>
      <c r="J15" s="13" t="s">
        <v>46</v>
      </c>
      <c r="K15" s="13" t="s">
        <v>299</v>
      </c>
      <c r="L15" s="13" t="s">
        <v>83</v>
      </c>
      <c r="M15" s="13" t="s">
        <v>300</v>
      </c>
      <c r="N15" s="13" t="s">
        <v>301</v>
      </c>
      <c r="O15" s="13">
        <v>41.0</v>
      </c>
      <c r="P15" s="13">
        <v>87.0</v>
      </c>
      <c r="Q15" s="13" t="s">
        <v>70</v>
      </c>
      <c r="R15" s="13">
        <v>14.0</v>
      </c>
      <c r="S15" s="13" t="s">
        <v>290</v>
      </c>
      <c r="T15" s="13" t="s">
        <v>141</v>
      </c>
      <c r="U15" s="13">
        <v>10.0</v>
      </c>
      <c r="V15" s="13">
        <v>13.0</v>
      </c>
      <c r="W15" s="13" t="s">
        <v>302</v>
      </c>
      <c r="X15" s="13">
        <v>4.0</v>
      </c>
      <c r="Y15" s="13">
        <v>29.0</v>
      </c>
      <c r="Z15" s="13" t="s">
        <v>95</v>
      </c>
      <c r="AA15" s="13" t="s">
        <v>65</v>
      </c>
      <c r="AB15" s="13" t="s">
        <v>44</v>
      </c>
      <c r="AC15" s="13">
        <v>11.0</v>
      </c>
      <c r="AD15" s="13" t="s">
        <v>58</v>
      </c>
      <c r="AE15" s="13">
        <v>43.0</v>
      </c>
      <c r="AF15" s="13">
        <v>84.0</v>
      </c>
      <c r="AG15" s="13" t="s">
        <v>303</v>
      </c>
      <c r="AH15" s="13">
        <v>10.0</v>
      </c>
      <c r="AI15" s="13" t="s">
        <v>170</v>
      </c>
      <c r="AJ15" s="13" t="s">
        <v>304</v>
      </c>
      <c r="AK15" s="13">
        <v>24.0</v>
      </c>
      <c r="AL15" s="13">
        <v>25.0</v>
      </c>
      <c r="AM15" s="13" t="s">
        <v>305</v>
      </c>
      <c r="AN15" s="13">
        <v>9.0</v>
      </c>
      <c r="AO15" s="13">
        <v>48.0</v>
      </c>
      <c r="AP15" s="13" t="s">
        <v>58</v>
      </c>
      <c r="AQ15" s="13" t="s">
        <v>65</v>
      </c>
      <c r="AR15" s="13" t="s">
        <v>57</v>
      </c>
      <c r="AS15" s="13">
        <v>13.0</v>
      </c>
      <c r="AT15" s="13" t="s">
        <v>97</v>
      </c>
      <c r="AU15" s="13">
        <f>Sheet1!$Y15-Sheet1!$X15</f>
        <v>25</v>
      </c>
      <c r="AV15" s="13">
        <f>Sheet1!$AO15-Sheet1!$AN15</f>
        <v>39</v>
      </c>
      <c r="AW15" s="5"/>
      <c r="AX15" s="13">
        <v>14.0</v>
      </c>
      <c r="AY15" s="13" t="s">
        <v>306</v>
      </c>
      <c r="AZ15" s="13" t="s">
        <v>46</v>
      </c>
      <c r="BA15" s="13" t="s">
        <v>307</v>
      </c>
      <c r="BB15" s="13" t="s">
        <v>83</v>
      </c>
      <c r="BC15" s="13" t="s">
        <v>308</v>
      </c>
      <c r="BD15" s="13" t="s">
        <v>300</v>
      </c>
      <c r="BE15" s="13">
        <v>37.0</v>
      </c>
      <c r="BF15" s="13">
        <v>84.0</v>
      </c>
      <c r="BG15" s="13" t="s">
        <v>309</v>
      </c>
      <c r="BH15" s="13">
        <v>7.0</v>
      </c>
      <c r="BI15" s="13" t="s">
        <v>55</v>
      </c>
      <c r="BJ15" s="13" t="s">
        <v>310</v>
      </c>
      <c r="BK15" s="13">
        <v>23.0</v>
      </c>
      <c r="BL15" s="13">
        <v>32.0</v>
      </c>
      <c r="BM15" s="13" t="s">
        <v>311</v>
      </c>
      <c r="BN15" s="13">
        <v>15.0</v>
      </c>
      <c r="BO15" s="13">
        <v>53.0</v>
      </c>
      <c r="BP15" s="13" t="s">
        <v>109</v>
      </c>
      <c r="BQ15" s="13" t="s">
        <v>90</v>
      </c>
      <c r="BR15" s="13" t="s">
        <v>64</v>
      </c>
      <c r="BS15" s="13">
        <v>22.0</v>
      </c>
      <c r="BT15" s="13" t="s">
        <v>164</v>
      </c>
      <c r="BU15" s="13">
        <v>43.0</v>
      </c>
      <c r="BV15" s="13">
        <v>99.0</v>
      </c>
      <c r="BW15" s="13" t="s">
        <v>241</v>
      </c>
      <c r="BX15" s="13">
        <v>8.0</v>
      </c>
      <c r="BY15" s="13" t="s">
        <v>106</v>
      </c>
      <c r="BZ15" s="13" t="s">
        <v>107</v>
      </c>
      <c r="CA15" s="13">
        <v>12.0</v>
      </c>
      <c r="CB15" s="13">
        <v>18.0</v>
      </c>
      <c r="CC15" s="13" t="s">
        <v>209</v>
      </c>
      <c r="CD15" s="13">
        <v>11.0</v>
      </c>
      <c r="CE15" s="13">
        <v>43.0</v>
      </c>
      <c r="CF15" s="13" t="s">
        <v>63</v>
      </c>
      <c r="CG15" s="13" t="s">
        <v>150</v>
      </c>
      <c r="CH15" s="13" t="s">
        <v>112</v>
      </c>
      <c r="CI15" s="13">
        <v>11.0</v>
      </c>
      <c r="CJ15" s="13" t="s">
        <v>55</v>
      </c>
      <c r="CK15" s="13">
        <f>Sheet1!$BO15-Sheet1!$BN15</f>
        <v>38</v>
      </c>
      <c r="CL15" s="13">
        <f>Sheet1!$CE15-Sheet1!$CD15</f>
        <v>32</v>
      </c>
    </row>
    <row r="16" ht="14.25" customHeight="1">
      <c r="B16" s="1"/>
      <c r="C16" s="21" t="str">
        <f t="array" ref="C16">AVERAGE(INDIRECT(F44):INDIRECT(F45))/(AVERAGE(INDIRECT(F24):INDIRECT(F25))-AVERAGE(INDIRECT(F46):INDIRECT(F47))+AVERAGE(INDIRECT(F44):INDIRECT(F45))+0.44*AVERAGE(INDIRECT(F48):INDIRECT(F49)))</f>
        <v>#REF!</v>
      </c>
      <c r="D16" s="1"/>
      <c r="E16" s="25" t="s">
        <v>312</v>
      </c>
      <c r="F16" s="26" t="str">
        <f>CONCATENATE("BH",F1-9)</f>
        <v>BH-8</v>
      </c>
      <c r="G16" s="5"/>
      <c r="H16" s="13" t="s">
        <v>150</v>
      </c>
      <c r="I16" s="13" t="s">
        <v>313</v>
      </c>
      <c r="J16" s="13" t="s">
        <v>46</v>
      </c>
      <c r="K16" s="13" t="s">
        <v>299</v>
      </c>
      <c r="L16" s="13" t="s">
        <v>83</v>
      </c>
      <c r="M16" s="13" t="s">
        <v>145</v>
      </c>
      <c r="N16" s="13" t="s">
        <v>158</v>
      </c>
      <c r="O16" s="13">
        <v>42.0</v>
      </c>
      <c r="P16" s="13">
        <v>95.0</v>
      </c>
      <c r="Q16" s="13" t="s">
        <v>160</v>
      </c>
      <c r="R16" s="13">
        <v>7.0</v>
      </c>
      <c r="S16" s="13" t="s">
        <v>186</v>
      </c>
      <c r="T16" s="13" t="s">
        <v>314</v>
      </c>
      <c r="U16" s="13">
        <v>9.0</v>
      </c>
      <c r="V16" s="13">
        <v>14.0</v>
      </c>
      <c r="W16" s="13" t="s">
        <v>315</v>
      </c>
      <c r="X16" s="13">
        <v>12.0</v>
      </c>
      <c r="Y16" s="13">
        <v>51.0</v>
      </c>
      <c r="Z16" s="13" t="s">
        <v>66</v>
      </c>
      <c r="AA16" s="13" t="s">
        <v>57</v>
      </c>
      <c r="AB16" s="13" t="s">
        <v>80</v>
      </c>
      <c r="AC16" s="13">
        <v>10.0</v>
      </c>
      <c r="AD16" s="13" t="s">
        <v>97</v>
      </c>
      <c r="AE16" s="13">
        <v>41.0</v>
      </c>
      <c r="AF16" s="13">
        <v>92.0</v>
      </c>
      <c r="AG16" s="13" t="s">
        <v>316</v>
      </c>
      <c r="AH16" s="13">
        <v>14.0</v>
      </c>
      <c r="AI16" s="13" t="s">
        <v>196</v>
      </c>
      <c r="AJ16" s="13" t="s">
        <v>317</v>
      </c>
      <c r="AK16" s="13">
        <v>12.0</v>
      </c>
      <c r="AL16" s="13">
        <v>16.0</v>
      </c>
      <c r="AM16" s="13" t="s">
        <v>167</v>
      </c>
      <c r="AN16" s="13">
        <v>8.0</v>
      </c>
      <c r="AO16" s="13">
        <v>46.0</v>
      </c>
      <c r="AP16" s="13" t="s">
        <v>78</v>
      </c>
      <c r="AQ16" s="13" t="s">
        <v>77</v>
      </c>
      <c r="AR16" s="13" t="s">
        <v>80</v>
      </c>
      <c r="AS16" s="13">
        <v>10.0</v>
      </c>
      <c r="AT16" s="13" t="s">
        <v>56</v>
      </c>
      <c r="AU16" s="13">
        <f>Sheet1!$Y16-Sheet1!$X16</f>
        <v>39</v>
      </c>
      <c r="AV16" s="13">
        <f>Sheet1!$AO16-Sheet1!$AN16</f>
        <v>38</v>
      </c>
      <c r="AW16" s="5"/>
      <c r="AX16" s="13">
        <v>15.0</v>
      </c>
      <c r="AY16" s="13" t="s">
        <v>318</v>
      </c>
      <c r="AZ16" s="13"/>
      <c r="BA16" s="13" t="s">
        <v>319</v>
      </c>
      <c r="BB16" s="13" t="s">
        <v>48</v>
      </c>
      <c r="BC16" s="13" t="s">
        <v>320</v>
      </c>
      <c r="BD16" s="13" t="s">
        <v>49</v>
      </c>
      <c r="BE16" s="13">
        <v>36.0</v>
      </c>
      <c r="BF16" s="13">
        <v>78.0</v>
      </c>
      <c r="BG16" s="13" t="s">
        <v>280</v>
      </c>
      <c r="BH16" s="13">
        <v>9.0</v>
      </c>
      <c r="BI16" s="13" t="s">
        <v>63</v>
      </c>
      <c r="BJ16" s="13" t="s">
        <v>141</v>
      </c>
      <c r="BK16" s="13">
        <v>36.0</v>
      </c>
      <c r="BL16" s="13">
        <v>45.0</v>
      </c>
      <c r="BM16" s="13" t="s">
        <v>321</v>
      </c>
      <c r="BN16" s="13">
        <v>11.0</v>
      </c>
      <c r="BO16" s="13">
        <v>41.0</v>
      </c>
      <c r="BP16" s="13" t="s">
        <v>104</v>
      </c>
      <c r="BQ16" s="13" t="s">
        <v>124</v>
      </c>
      <c r="BR16" s="13" t="s">
        <v>112</v>
      </c>
      <c r="BS16" s="13">
        <v>9.0</v>
      </c>
      <c r="BT16" s="13" t="s">
        <v>104</v>
      </c>
      <c r="BU16" s="13">
        <v>42.0</v>
      </c>
      <c r="BV16" s="13">
        <v>89.0</v>
      </c>
      <c r="BW16" s="13" t="s">
        <v>322</v>
      </c>
      <c r="BX16" s="13">
        <v>12.0</v>
      </c>
      <c r="BY16" s="13" t="s">
        <v>170</v>
      </c>
      <c r="BZ16" s="13" t="s">
        <v>251</v>
      </c>
      <c r="CA16" s="13">
        <v>13.0</v>
      </c>
      <c r="CB16" s="13">
        <v>20.0</v>
      </c>
      <c r="CC16" s="13" t="s">
        <v>323</v>
      </c>
      <c r="CD16" s="13">
        <v>10.0</v>
      </c>
      <c r="CE16" s="13">
        <v>45.0</v>
      </c>
      <c r="CF16" s="13" t="s">
        <v>66</v>
      </c>
      <c r="CG16" s="13" t="s">
        <v>112</v>
      </c>
      <c r="CH16" s="13" t="s">
        <v>182</v>
      </c>
      <c r="CI16" s="13">
        <v>16.0</v>
      </c>
      <c r="CJ16" s="13" t="s">
        <v>106</v>
      </c>
      <c r="CK16" s="13">
        <f>Sheet1!$BO16-Sheet1!$BN16</f>
        <v>30</v>
      </c>
      <c r="CL16" s="13">
        <f>Sheet1!$CE16-Sheet1!$CD16</f>
        <v>35</v>
      </c>
    </row>
    <row r="17" ht="14.25" customHeight="1">
      <c r="B17" s="1"/>
      <c r="C17" s="14" t="s">
        <v>324</v>
      </c>
      <c r="D17" s="1"/>
      <c r="E17" s="25"/>
      <c r="F17" s="26" t="str">
        <f>CONCATENATE("BH",F1)</f>
        <v>BH1</v>
      </c>
      <c r="G17" s="5"/>
      <c r="H17" s="13" t="s">
        <v>91</v>
      </c>
      <c r="I17" s="13" t="s">
        <v>325</v>
      </c>
      <c r="J17" s="13" t="s">
        <v>46</v>
      </c>
      <c r="K17" s="13" t="s">
        <v>326</v>
      </c>
      <c r="L17" s="13" t="s">
        <v>48</v>
      </c>
      <c r="M17" s="13" t="s">
        <v>272</v>
      </c>
      <c r="N17" s="13" t="s">
        <v>231</v>
      </c>
      <c r="O17" s="13">
        <v>43.0</v>
      </c>
      <c r="P17" s="13">
        <v>84.0</v>
      </c>
      <c r="Q17" s="13" t="s">
        <v>303</v>
      </c>
      <c r="R17" s="13">
        <v>18.0</v>
      </c>
      <c r="S17" s="13" t="s">
        <v>327</v>
      </c>
      <c r="T17" s="13" t="s">
        <v>328</v>
      </c>
      <c r="U17" s="13">
        <v>21.0</v>
      </c>
      <c r="V17" s="13">
        <v>35.0</v>
      </c>
      <c r="W17" s="13" t="s">
        <v>211</v>
      </c>
      <c r="X17" s="13">
        <v>9.0</v>
      </c>
      <c r="Y17" s="13">
        <v>43.0</v>
      </c>
      <c r="Z17" s="13" t="s">
        <v>55</v>
      </c>
      <c r="AA17" s="13" t="s">
        <v>90</v>
      </c>
      <c r="AB17" s="13" t="s">
        <v>96</v>
      </c>
      <c r="AC17" s="13">
        <v>8.0</v>
      </c>
      <c r="AD17" s="13" t="s">
        <v>97</v>
      </c>
      <c r="AE17" s="13">
        <v>46.0</v>
      </c>
      <c r="AF17" s="13">
        <v>98.0</v>
      </c>
      <c r="AG17" s="13" t="s">
        <v>329</v>
      </c>
      <c r="AH17" s="13">
        <v>14.0</v>
      </c>
      <c r="AI17" s="13" t="s">
        <v>161</v>
      </c>
      <c r="AJ17" s="13" t="s">
        <v>330</v>
      </c>
      <c r="AK17" s="13">
        <v>16.0</v>
      </c>
      <c r="AL17" s="13">
        <v>21.0</v>
      </c>
      <c r="AM17" s="13" t="s">
        <v>331</v>
      </c>
      <c r="AN17" s="13">
        <v>15.0</v>
      </c>
      <c r="AO17" s="13">
        <v>50.0</v>
      </c>
      <c r="AP17" s="13" t="s">
        <v>164</v>
      </c>
      <c r="AQ17" s="13" t="s">
        <v>96</v>
      </c>
      <c r="AR17" s="13" t="s">
        <v>112</v>
      </c>
      <c r="AS17" s="13">
        <v>8.0</v>
      </c>
      <c r="AT17" s="13" t="s">
        <v>109</v>
      </c>
      <c r="AU17" s="13">
        <f>Sheet1!$Y17-Sheet1!$X17</f>
        <v>34</v>
      </c>
      <c r="AV17" s="13">
        <f>Sheet1!$AO17-Sheet1!$AN17</f>
        <v>35</v>
      </c>
      <c r="AW17" s="5"/>
      <c r="AX17" s="13">
        <v>16.0</v>
      </c>
      <c r="AY17" s="13" t="s">
        <v>298</v>
      </c>
      <c r="AZ17" s="13"/>
      <c r="BA17" s="13" t="s">
        <v>319</v>
      </c>
      <c r="BB17" s="13" t="s">
        <v>48</v>
      </c>
      <c r="BC17" s="13" t="s">
        <v>231</v>
      </c>
      <c r="BD17" s="13" t="s">
        <v>84</v>
      </c>
      <c r="BE17" s="13">
        <v>45.0</v>
      </c>
      <c r="BF17" s="13">
        <v>81.0</v>
      </c>
      <c r="BG17" s="13" t="s">
        <v>181</v>
      </c>
      <c r="BH17" s="13">
        <v>12.0</v>
      </c>
      <c r="BI17" s="13" t="s">
        <v>71</v>
      </c>
      <c r="BJ17" s="13" t="s">
        <v>332</v>
      </c>
      <c r="BK17" s="13">
        <v>20.0</v>
      </c>
      <c r="BL17" s="13">
        <v>24.0</v>
      </c>
      <c r="BM17" s="13" t="s">
        <v>229</v>
      </c>
      <c r="BN17" s="13">
        <v>10.0</v>
      </c>
      <c r="BO17" s="13">
        <v>45.0</v>
      </c>
      <c r="BP17" s="13" t="s">
        <v>109</v>
      </c>
      <c r="BQ17" s="13" t="s">
        <v>89</v>
      </c>
      <c r="BR17" s="13" t="s">
        <v>57</v>
      </c>
      <c r="BS17" s="13">
        <v>19.0</v>
      </c>
      <c r="BT17" s="13" t="s">
        <v>109</v>
      </c>
      <c r="BU17" s="13">
        <v>41.0</v>
      </c>
      <c r="BV17" s="13">
        <v>90.0</v>
      </c>
      <c r="BW17" s="13" t="s">
        <v>333</v>
      </c>
      <c r="BX17" s="13">
        <v>12.0</v>
      </c>
      <c r="BY17" s="13" t="s">
        <v>204</v>
      </c>
      <c r="BZ17" s="13" t="s">
        <v>334</v>
      </c>
      <c r="CA17" s="13">
        <v>16.0</v>
      </c>
      <c r="CB17" s="13">
        <v>20.0</v>
      </c>
      <c r="CC17" s="13" t="s">
        <v>321</v>
      </c>
      <c r="CD17" s="13">
        <v>10.0</v>
      </c>
      <c r="CE17" s="13">
        <v>32.0</v>
      </c>
      <c r="CF17" s="13" t="s">
        <v>109</v>
      </c>
      <c r="CG17" s="13" t="s">
        <v>56</v>
      </c>
      <c r="CH17" s="13" t="s">
        <v>90</v>
      </c>
      <c r="CI17" s="13">
        <v>11.0</v>
      </c>
      <c r="CJ17" s="13" t="s">
        <v>58</v>
      </c>
      <c r="CK17" s="13">
        <f>Sheet1!$BO17-Sheet1!$BN17</f>
        <v>35</v>
      </c>
      <c r="CL17" s="13">
        <f>Sheet1!$CE17-Sheet1!$CD17</f>
        <v>22</v>
      </c>
    </row>
    <row r="18" ht="14.25" customHeight="1">
      <c r="A18" s="28" t="s">
        <v>335</v>
      </c>
      <c r="B18" s="1"/>
      <c r="C18" s="10" t="str">
        <f t="array" ref="C18">AVERAGE(INDIRECT(F28):INDIRECT(F29))/(AVERAGE(INDIRECT(F28):INDIRECT(F29))+AVERAGE(INDIRECT(F50):INDIRECT(F51)))</f>
        <v>#REF!</v>
      </c>
      <c r="D18" s="1"/>
      <c r="E18" s="25" t="s">
        <v>336</v>
      </c>
      <c r="F18" s="26" t="str">
        <f>CONCATENATE("BF",F1-9)</f>
        <v>BF-8</v>
      </c>
      <c r="G18" s="5"/>
      <c r="H18" s="13" t="s">
        <v>164</v>
      </c>
      <c r="I18" s="13" t="s">
        <v>337</v>
      </c>
      <c r="J18" s="13" t="s">
        <v>46</v>
      </c>
      <c r="K18" s="13" t="s">
        <v>338</v>
      </c>
      <c r="L18" s="13" t="s">
        <v>48</v>
      </c>
      <c r="M18" s="13" t="s">
        <v>240</v>
      </c>
      <c r="N18" s="13" t="s">
        <v>339</v>
      </c>
      <c r="O18" s="13">
        <v>38.0</v>
      </c>
      <c r="P18" s="13">
        <v>85.0</v>
      </c>
      <c r="Q18" s="13" t="s">
        <v>340</v>
      </c>
      <c r="R18" s="13">
        <v>16.0</v>
      </c>
      <c r="S18" s="13" t="s">
        <v>327</v>
      </c>
      <c r="T18" s="13" t="s">
        <v>334</v>
      </c>
      <c r="U18" s="13">
        <v>10.0</v>
      </c>
      <c r="V18" s="13">
        <v>14.0</v>
      </c>
      <c r="W18" s="13" t="s">
        <v>341</v>
      </c>
      <c r="X18" s="13">
        <v>5.0</v>
      </c>
      <c r="Y18" s="13">
        <v>48.0</v>
      </c>
      <c r="Z18" s="13" t="s">
        <v>58</v>
      </c>
      <c r="AA18" s="13" t="s">
        <v>57</v>
      </c>
      <c r="AB18" s="13" t="s">
        <v>65</v>
      </c>
      <c r="AC18" s="13">
        <v>14.0</v>
      </c>
      <c r="AD18" s="13" t="s">
        <v>97</v>
      </c>
      <c r="AE18" s="13">
        <v>36.0</v>
      </c>
      <c r="AF18" s="13">
        <v>95.0</v>
      </c>
      <c r="AG18" s="13" t="s">
        <v>342</v>
      </c>
      <c r="AH18" s="13">
        <v>15.0</v>
      </c>
      <c r="AI18" s="13" t="s">
        <v>287</v>
      </c>
      <c r="AJ18" s="13" t="s">
        <v>343</v>
      </c>
      <c r="AK18" s="13">
        <v>10.0</v>
      </c>
      <c r="AL18" s="13">
        <v>12.0</v>
      </c>
      <c r="AM18" s="13" t="s">
        <v>229</v>
      </c>
      <c r="AN18" s="13">
        <v>9.0</v>
      </c>
      <c r="AO18" s="13">
        <v>49.0</v>
      </c>
      <c r="AP18" s="13" t="s">
        <v>97</v>
      </c>
      <c r="AQ18" s="13" t="s">
        <v>57</v>
      </c>
      <c r="AR18" s="13" t="s">
        <v>112</v>
      </c>
      <c r="AS18" s="13">
        <v>13.0</v>
      </c>
      <c r="AT18" s="13" t="s">
        <v>91</v>
      </c>
      <c r="AU18" s="13">
        <f>Sheet1!$Y18-Sheet1!$X18</f>
        <v>43</v>
      </c>
      <c r="AV18" s="13">
        <f>Sheet1!$AO18-Sheet1!$AN18</f>
        <v>40</v>
      </c>
      <c r="AW18" s="5"/>
      <c r="AX18" s="13">
        <v>17.0</v>
      </c>
      <c r="AY18" s="13" t="s">
        <v>344</v>
      </c>
      <c r="AZ18" s="13" t="s">
        <v>46</v>
      </c>
      <c r="BA18" s="13" t="s">
        <v>345</v>
      </c>
      <c r="BB18" s="13" t="s">
        <v>48</v>
      </c>
      <c r="BC18" s="13" t="s">
        <v>346</v>
      </c>
      <c r="BD18" s="13" t="s">
        <v>84</v>
      </c>
      <c r="BE18" s="13">
        <v>38.0</v>
      </c>
      <c r="BF18" s="13">
        <v>83.0</v>
      </c>
      <c r="BG18" s="13" t="s">
        <v>347</v>
      </c>
      <c r="BH18" s="13">
        <v>8.0</v>
      </c>
      <c r="BI18" s="13" t="s">
        <v>109</v>
      </c>
      <c r="BJ18" s="13" t="s">
        <v>348</v>
      </c>
      <c r="BK18" s="13">
        <v>30.0</v>
      </c>
      <c r="BL18" s="13">
        <v>38.0</v>
      </c>
      <c r="BM18" s="13" t="s">
        <v>258</v>
      </c>
      <c r="BN18" s="13">
        <v>12.0</v>
      </c>
      <c r="BO18" s="13">
        <v>49.0</v>
      </c>
      <c r="BP18" s="13" t="s">
        <v>297</v>
      </c>
      <c r="BQ18" s="13" t="s">
        <v>56</v>
      </c>
      <c r="BR18" s="13" t="s">
        <v>57</v>
      </c>
      <c r="BS18" s="13">
        <v>15.0</v>
      </c>
      <c r="BT18" s="13" t="s">
        <v>95</v>
      </c>
      <c r="BU18" s="13">
        <v>37.0</v>
      </c>
      <c r="BV18" s="13">
        <v>86.0</v>
      </c>
      <c r="BW18" s="13" t="s">
        <v>256</v>
      </c>
      <c r="BX18" s="13">
        <v>14.0</v>
      </c>
      <c r="BY18" s="13" t="s">
        <v>170</v>
      </c>
      <c r="BZ18" s="13" t="s">
        <v>349</v>
      </c>
      <c r="CA18" s="13">
        <v>22.0</v>
      </c>
      <c r="CB18" s="13">
        <v>30.0</v>
      </c>
      <c r="CC18" s="13" t="s">
        <v>350</v>
      </c>
      <c r="CD18" s="13">
        <v>8.0</v>
      </c>
      <c r="CE18" s="13">
        <v>43.0</v>
      </c>
      <c r="CF18" s="13" t="s">
        <v>55</v>
      </c>
      <c r="CG18" s="13" t="s">
        <v>89</v>
      </c>
      <c r="CH18" s="13" t="s">
        <v>65</v>
      </c>
      <c r="CI18" s="13">
        <v>15.0</v>
      </c>
      <c r="CJ18" s="13" t="s">
        <v>71</v>
      </c>
      <c r="CK18" s="13">
        <f>Sheet1!$BO18-Sheet1!$BN18</f>
        <v>37</v>
      </c>
      <c r="CL18" s="13">
        <f>Sheet1!$CE18-Sheet1!$CD18</f>
        <v>35</v>
      </c>
    </row>
    <row r="19" ht="14.25" customHeight="1">
      <c r="A19" s="29" t="str">
        <f>100*((C2-C4)-(C6-C8))</f>
        <v>#REF!</v>
      </c>
      <c r="B19" s="1"/>
      <c r="C19" s="14" t="s">
        <v>351</v>
      </c>
      <c r="D19" s="1"/>
      <c r="E19" s="25"/>
      <c r="F19" s="26" t="str">
        <f>CONCATENATE("BF",F1)</f>
        <v>BF1</v>
      </c>
      <c r="G19" s="5"/>
      <c r="H19" s="13" t="s">
        <v>120</v>
      </c>
      <c r="I19" s="13" t="s">
        <v>352</v>
      </c>
      <c r="J19" s="13"/>
      <c r="K19" s="13" t="s">
        <v>222</v>
      </c>
      <c r="L19" s="13" t="s">
        <v>83</v>
      </c>
      <c r="M19" s="13" t="s">
        <v>272</v>
      </c>
      <c r="N19" s="13" t="s">
        <v>353</v>
      </c>
      <c r="O19" s="13">
        <v>40.0</v>
      </c>
      <c r="P19" s="13">
        <v>86.0</v>
      </c>
      <c r="Q19" s="13" t="s">
        <v>85</v>
      </c>
      <c r="R19" s="13">
        <v>16.0</v>
      </c>
      <c r="S19" s="13" t="s">
        <v>86</v>
      </c>
      <c r="T19" s="13" t="s">
        <v>354</v>
      </c>
      <c r="U19" s="13">
        <v>29.0</v>
      </c>
      <c r="V19" s="13">
        <v>34.0</v>
      </c>
      <c r="W19" s="13" t="s">
        <v>355</v>
      </c>
      <c r="X19" s="13">
        <v>6.0</v>
      </c>
      <c r="Y19" s="13">
        <v>36.0</v>
      </c>
      <c r="Z19" s="13" t="s">
        <v>109</v>
      </c>
      <c r="AA19" s="13" t="s">
        <v>77</v>
      </c>
      <c r="AB19" s="13" t="s">
        <v>77</v>
      </c>
      <c r="AC19" s="13">
        <v>12.0</v>
      </c>
      <c r="AD19" s="13" t="s">
        <v>124</v>
      </c>
      <c r="AE19" s="13">
        <v>57.0</v>
      </c>
      <c r="AF19" s="13">
        <v>100.0</v>
      </c>
      <c r="AG19" s="13" t="s">
        <v>356</v>
      </c>
      <c r="AH19" s="13">
        <v>19.0</v>
      </c>
      <c r="AI19" s="13" t="s">
        <v>152</v>
      </c>
      <c r="AJ19" s="13" t="s">
        <v>357</v>
      </c>
      <c r="AK19" s="13">
        <v>14.0</v>
      </c>
      <c r="AL19" s="13">
        <v>16.0</v>
      </c>
      <c r="AM19" s="13" t="s">
        <v>358</v>
      </c>
      <c r="AN19" s="13">
        <v>10.0</v>
      </c>
      <c r="AO19" s="13">
        <v>50.0</v>
      </c>
      <c r="AP19" s="13" t="s">
        <v>170</v>
      </c>
      <c r="AQ19" s="13" t="s">
        <v>57</v>
      </c>
      <c r="AR19" s="13" t="s">
        <v>77</v>
      </c>
      <c r="AS19" s="13">
        <v>11.0</v>
      </c>
      <c r="AT19" s="13" t="s">
        <v>55</v>
      </c>
      <c r="AU19" s="13">
        <f>Sheet1!$Y19-Sheet1!$X19</f>
        <v>30</v>
      </c>
      <c r="AV19" s="13">
        <f>Sheet1!$AO19-Sheet1!$AN19</f>
        <v>40</v>
      </c>
      <c r="AW19" s="5"/>
      <c r="AX19" s="13">
        <v>18.0</v>
      </c>
      <c r="AY19" s="13" t="s">
        <v>325</v>
      </c>
      <c r="AZ19" s="13" t="s">
        <v>46</v>
      </c>
      <c r="BA19" s="13" t="s">
        <v>345</v>
      </c>
      <c r="BB19" s="13" t="s">
        <v>83</v>
      </c>
      <c r="BC19" s="13" t="s">
        <v>308</v>
      </c>
      <c r="BD19" s="13" t="s">
        <v>286</v>
      </c>
      <c r="BE19" s="13">
        <v>40.0</v>
      </c>
      <c r="BF19" s="13">
        <v>94.0</v>
      </c>
      <c r="BG19" s="13" t="s">
        <v>359</v>
      </c>
      <c r="BH19" s="13">
        <v>9.0</v>
      </c>
      <c r="BI19" s="13" t="s">
        <v>71</v>
      </c>
      <c r="BJ19" s="13" t="s">
        <v>360</v>
      </c>
      <c r="BK19" s="13">
        <v>15.0</v>
      </c>
      <c r="BL19" s="13">
        <v>20.0</v>
      </c>
      <c r="BM19" s="13" t="s">
        <v>167</v>
      </c>
      <c r="BN19" s="13">
        <v>13.0</v>
      </c>
      <c r="BO19" s="13">
        <v>36.0</v>
      </c>
      <c r="BP19" s="13" t="s">
        <v>150</v>
      </c>
      <c r="BQ19" s="13" t="s">
        <v>124</v>
      </c>
      <c r="BR19" s="13" t="s">
        <v>112</v>
      </c>
      <c r="BS19" s="13">
        <v>9.0</v>
      </c>
      <c r="BT19" s="13" t="s">
        <v>78</v>
      </c>
      <c r="BU19" s="13">
        <v>35.0</v>
      </c>
      <c r="BV19" s="13">
        <v>70.0</v>
      </c>
      <c r="BW19" s="13" t="s">
        <v>92</v>
      </c>
      <c r="BX19" s="13">
        <v>17.0</v>
      </c>
      <c r="BY19" s="13" t="s">
        <v>86</v>
      </c>
      <c r="BZ19" s="13" t="s">
        <v>340</v>
      </c>
      <c r="CA19" s="13">
        <v>32.0</v>
      </c>
      <c r="CB19" s="13">
        <v>38.0</v>
      </c>
      <c r="CC19" s="13" t="s">
        <v>361</v>
      </c>
      <c r="CD19" s="13">
        <v>11.0</v>
      </c>
      <c r="CE19" s="13">
        <v>47.0</v>
      </c>
      <c r="CF19" s="13" t="s">
        <v>66</v>
      </c>
      <c r="CG19" s="13" t="s">
        <v>96</v>
      </c>
      <c r="CH19" s="13" t="s">
        <v>96</v>
      </c>
      <c r="CI19" s="13">
        <v>18.0</v>
      </c>
      <c r="CJ19" s="13" t="s">
        <v>104</v>
      </c>
      <c r="CK19" s="13">
        <f>Sheet1!$BO19-Sheet1!$BN19</f>
        <v>23</v>
      </c>
      <c r="CL19" s="13">
        <f>Sheet1!$CE19-Sheet1!$CD19</f>
        <v>36</v>
      </c>
    </row>
    <row r="20" ht="14.25" customHeight="1">
      <c r="A20" s="30" t="s">
        <v>362</v>
      </c>
      <c r="B20" s="1"/>
      <c r="C20" s="15" t="str">
        <f t="array" ref="C20">AVERAGE(INDIRECT(F34):INDIRECT(F35))/(AVERAGE(INDIRECT(F34):INDIRECT(F35))+AVERAGE(INDIRECT(F52):INDIRECT(F53)))</f>
        <v>#REF!</v>
      </c>
      <c r="D20" s="1"/>
      <c r="E20" s="25" t="s">
        <v>192</v>
      </c>
      <c r="F20" s="26" t="str">
        <f>CONCATENATE("BU",F1-9)</f>
        <v>BU-8</v>
      </c>
      <c r="G20" s="5"/>
      <c r="H20" s="13" t="s">
        <v>97</v>
      </c>
      <c r="I20" s="13" t="s">
        <v>363</v>
      </c>
      <c r="J20" s="13"/>
      <c r="K20" s="13" t="s">
        <v>364</v>
      </c>
      <c r="L20" s="13" t="s">
        <v>83</v>
      </c>
      <c r="M20" s="13" t="s">
        <v>300</v>
      </c>
      <c r="N20" s="13" t="s">
        <v>213</v>
      </c>
      <c r="O20" s="13">
        <v>39.0</v>
      </c>
      <c r="P20" s="13">
        <v>89.0</v>
      </c>
      <c r="Q20" s="13" t="s">
        <v>289</v>
      </c>
      <c r="R20" s="13">
        <v>13.0</v>
      </c>
      <c r="S20" s="13" t="s">
        <v>117</v>
      </c>
      <c r="T20" s="13" t="s">
        <v>365</v>
      </c>
      <c r="U20" s="13">
        <v>15.0</v>
      </c>
      <c r="V20" s="13">
        <v>19.0</v>
      </c>
      <c r="W20" s="13" t="s">
        <v>258</v>
      </c>
      <c r="X20" s="13">
        <v>8.0</v>
      </c>
      <c r="Y20" s="13">
        <v>45.0</v>
      </c>
      <c r="Z20" s="13" t="s">
        <v>58</v>
      </c>
      <c r="AA20" s="13" t="s">
        <v>65</v>
      </c>
      <c r="AB20" s="13" t="s">
        <v>65</v>
      </c>
      <c r="AC20" s="13">
        <v>16.0</v>
      </c>
      <c r="AD20" s="13" t="s">
        <v>132</v>
      </c>
      <c r="AE20" s="13">
        <v>49.0</v>
      </c>
      <c r="AF20" s="13">
        <v>102.0</v>
      </c>
      <c r="AG20" s="13" t="s">
        <v>366</v>
      </c>
      <c r="AH20" s="13">
        <v>28.0</v>
      </c>
      <c r="AI20" s="13" t="s">
        <v>367</v>
      </c>
      <c r="AJ20" s="13" t="s">
        <v>368</v>
      </c>
      <c r="AK20" s="13">
        <v>10.0</v>
      </c>
      <c r="AL20" s="13">
        <v>11.0</v>
      </c>
      <c r="AM20" s="13" t="s">
        <v>244</v>
      </c>
      <c r="AN20" s="13">
        <v>10.0</v>
      </c>
      <c r="AO20" s="13">
        <v>50.0</v>
      </c>
      <c r="AP20" s="13" t="s">
        <v>204</v>
      </c>
      <c r="AQ20" s="13" t="s">
        <v>65</v>
      </c>
      <c r="AR20" s="13" t="s">
        <v>96</v>
      </c>
      <c r="AS20" s="13">
        <v>11.0</v>
      </c>
      <c r="AT20" s="13" t="s">
        <v>104</v>
      </c>
      <c r="AU20" s="13">
        <f>Sheet1!$Y20-Sheet1!$X20</f>
        <v>37</v>
      </c>
      <c r="AV20" s="13">
        <f>Sheet1!$AO20-Sheet1!$AN20</f>
        <v>40</v>
      </c>
      <c r="AW20" s="5"/>
      <c r="AX20" s="13">
        <v>19.0</v>
      </c>
      <c r="AY20" s="13" t="s">
        <v>337</v>
      </c>
      <c r="AZ20" s="13"/>
      <c r="BA20" s="13" t="s">
        <v>254</v>
      </c>
      <c r="BB20" s="13" t="s">
        <v>48</v>
      </c>
      <c r="BC20" s="13" t="s">
        <v>50</v>
      </c>
      <c r="BD20" s="13" t="s">
        <v>300</v>
      </c>
      <c r="BE20" s="13">
        <v>41.0</v>
      </c>
      <c r="BF20" s="13">
        <v>85.0</v>
      </c>
      <c r="BG20" s="13" t="s">
        <v>369</v>
      </c>
      <c r="BH20" s="13">
        <v>9.0</v>
      </c>
      <c r="BI20" s="13" t="s">
        <v>55</v>
      </c>
      <c r="BJ20" s="13" t="s">
        <v>370</v>
      </c>
      <c r="BK20" s="13">
        <v>16.0</v>
      </c>
      <c r="BL20" s="13">
        <v>26.0</v>
      </c>
      <c r="BM20" s="13" t="s">
        <v>295</v>
      </c>
      <c r="BN20" s="13">
        <v>7.0</v>
      </c>
      <c r="BO20" s="13">
        <v>38.0</v>
      </c>
      <c r="BP20" s="13" t="s">
        <v>95</v>
      </c>
      <c r="BQ20" s="13" t="s">
        <v>56</v>
      </c>
      <c r="BR20" s="13" t="s">
        <v>57</v>
      </c>
      <c r="BS20" s="13">
        <v>11.0</v>
      </c>
      <c r="BT20" s="13" t="s">
        <v>95</v>
      </c>
      <c r="BU20" s="13">
        <v>41.0</v>
      </c>
      <c r="BV20" s="13">
        <v>86.0</v>
      </c>
      <c r="BW20" s="13" t="s">
        <v>371</v>
      </c>
      <c r="BX20" s="13">
        <v>8.0</v>
      </c>
      <c r="BY20" s="13" t="s">
        <v>95</v>
      </c>
      <c r="BZ20" s="13" t="s">
        <v>141</v>
      </c>
      <c r="CA20" s="13">
        <v>16.0</v>
      </c>
      <c r="CB20" s="13">
        <v>25.0</v>
      </c>
      <c r="CC20" s="13" t="s">
        <v>372</v>
      </c>
      <c r="CD20" s="13">
        <v>6.0</v>
      </c>
      <c r="CE20" s="13">
        <v>37.0</v>
      </c>
      <c r="CF20" s="13" t="s">
        <v>104</v>
      </c>
      <c r="CG20" s="13" t="s">
        <v>90</v>
      </c>
      <c r="CH20" s="13" t="s">
        <v>80</v>
      </c>
      <c r="CI20" s="13">
        <v>11.0</v>
      </c>
      <c r="CJ20" s="13" t="s">
        <v>104</v>
      </c>
      <c r="CK20" s="13">
        <f>Sheet1!$BO20-Sheet1!$BN20</f>
        <v>31</v>
      </c>
      <c r="CL20" s="13">
        <f>Sheet1!$CE20-Sheet1!$CD20</f>
        <v>31</v>
      </c>
    </row>
    <row r="21" ht="14.25" customHeight="1">
      <c r="A21" s="29" t="str">
        <f>100*((C12-C10)-(C16-C14))</f>
        <v>#REF!</v>
      </c>
      <c r="B21" s="1"/>
      <c r="C21" s="17" t="s">
        <v>373</v>
      </c>
      <c r="D21" s="1"/>
      <c r="E21" s="25"/>
      <c r="F21" s="26" t="str">
        <f>CONCATENATE("BU",F1)</f>
        <v>BU1</v>
      </c>
      <c r="G21" s="5"/>
      <c r="H21" s="13" t="s">
        <v>104</v>
      </c>
      <c r="I21" s="13" t="s">
        <v>374</v>
      </c>
      <c r="J21" s="13"/>
      <c r="K21" s="13" t="s">
        <v>364</v>
      </c>
      <c r="L21" s="13" t="s">
        <v>48</v>
      </c>
      <c r="M21" s="13" t="s">
        <v>308</v>
      </c>
      <c r="N21" s="13" t="s">
        <v>375</v>
      </c>
      <c r="O21" s="13">
        <v>36.0</v>
      </c>
      <c r="P21" s="13">
        <v>83.0</v>
      </c>
      <c r="Q21" s="13" t="s">
        <v>241</v>
      </c>
      <c r="R21" s="13">
        <v>10.0</v>
      </c>
      <c r="S21" s="13" t="s">
        <v>170</v>
      </c>
      <c r="T21" s="13" t="s">
        <v>304</v>
      </c>
      <c r="U21" s="13">
        <v>22.0</v>
      </c>
      <c r="V21" s="13">
        <v>26.0</v>
      </c>
      <c r="W21" s="13" t="s">
        <v>376</v>
      </c>
      <c r="X21" s="13">
        <v>5.0</v>
      </c>
      <c r="Y21" s="13">
        <v>51.0</v>
      </c>
      <c r="Z21" s="13" t="s">
        <v>97</v>
      </c>
      <c r="AA21" s="13" t="s">
        <v>132</v>
      </c>
      <c r="AB21" s="13" t="s">
        <v>90</v>
      </c>
      <c r="AC21" s="13">
        <v>21.0</v>
      </c>
      <c r="AD21" s="13" t="s">
        <v>297</v>
      </c>
      <c r="AE21" s="13">
        <v>33.0</v>
      </c>
      <c r="AF21" s="13">
        <v>86.0</v>
      </c>
      <c r="AG21" s="13" t="s">
        <v>377</v>
      </c>
      <c r="AH21" s="13">
        <v>12.0</v>
      </c>
      <c r="AI21" s="13" t="s">
        <v>196</v>
      </c>
      <c r="AJ21" s="13" t="s">
        <v>378</v>
      </c>
      <c r="AK21" s="13">
        <v>9.0</v>
      </c>
      <c r="AL21" s="13">
        <v>13.0</v>
      </c>
      <c r="AM21" s="13" t="s">
        <v>379</v>
      </c>
      <c r="AN21" s="13">
        <v>5.0</v>
      </c>
      <c r="AO21" s="13">
        <v>41.0</v>
      </c>
      <c r="AP21" s="13" t="s">
        <v>58</v>
      </c>
      <c r="AQ21" s="13" t="s">
        <v>64</v>
      </c>
      <c r="AR21" s="13" t="s">
        <v>77</v>
      </c>
      <c r="AS21" s="13">
        <v>20.0</v>
      </c>
      <c r="AT21" s="13" t="s">
        <v>120</v>
      </c>
      <c r="AU21" s="13">
        <f>Sheet1!$Y21-Sheet1!$X21</f>
        <v>46</v>
      </c>
      <c r="AV21" s="13">
        <f>Sheet1!$AO21-Sheet1!$AN21</f>
        <v>36</v>
      </c>
      <c r="AW21" s="5"/>
      <c r="AX21" s="13">
        <v>20.0</v>
      </c>
      <c r="AY21" s="13" t="s">
        <v>352</v>
      </c>
      <c r="AZ21" s="13" t="s">
        <v>46</v>
      </c>
      <c r="BA21" s="13" t="s">
        <v>380</v>
      </c>
      <c r="BB21" s="13" t="s">
        <v>48</v>
      </c>
      <c r="BC21" s="13" t="s">
        <v>115</v>
      </c>
      <c r="BD21" s="13" t="s">
        <v>127</v>
      </c>
      <c r="BE21" s="13">
        <v>39.0</v>
      </c>
      <c r="BF21" s="13">
        <v>87.0</v>
      </c>
      <c r="BG21" s="13" t="s">
        <v>381</v>
      </c>
      <c r="BH21" s="13">
        <v>8.0</v>
      </c>
      <c r="BI21" s="13" t="s">
        <v>91</v>
      </c>
      <c r="BJ21" s="13" t="s">
        <v>92</v>
      </c>
      <c r="BK21" s="13">
        <v>32.0</v>
      </c>
      <c r="BL21" s="13">
        <v>38.0</v>
      </c>
      <c r="BM21" s="13" t="s">
        <v>361</v>
      </c>
      <c r="BN21" s="13">
        <v>12.0</v>
      </c>
      <c r="BO21" s="13">
        <v>51.0</v>
      </c>
      <c r="BP21" s="13" t="s">
        <v>104</v>
      </c>
      <c r="BQ21" s="13" t="s">
        <v>64</v>
      </c>
      <c r="BR21" s="13" t="s">
        <v>96</v>
      </c>
      <c r="BS21" s="13">
        <v>10.0</v>
      </c>
      <c r="BT21" s="13" t="s">
        <v>164</v>
      </c>
      <c r="BU21" s="13">
        <v>35.0</v>
      </c>
      <c r="BV21" s="13">
        <v>82.0</v>
      </c>
      <c r="BW21" s="13" t="s">
        <v>382</v>
      </c>
      <c r="BX21" s="13">
        <v>10.0</v>
      </c>
      <c r="BY21" s="13" t="s">
        <v>170</v>
      </c>
      <c r="BZ21" s="13" t="s">
        <v>304</v>
      </c>
      <c r="CA21" s="13">
        <v>14.0</v>
      </c>
      <c r="CB21" s="13">
        <v>18.0</v>
      </c>
      <c r="CC21" s="13" t="s">
        <v>268</v>
      </c>
      <c r="CD21" s="13">
        <v>4.0</v>
      </c>
      <c r="CE21" s="13">
        <v>38.0</v>
      </c>
      <c r="CF21" s="13" t="s">
        <v>104</v>
      </c>
      <c r="CG21" s="13" t="s">
        <v>112</v>
      </c>
      <c r="CH21" s="13" t="s">
        <v>77</v>
      </c>
      <c r="CI21" s="13">
        <v>18.0</v>
      </c>
      <c r="CJ21" s="13" t="s">
        <v>106</v>
      </c>
      <c r="CK21" s="13">
        <f>Sheet1!$BO21-Sheet1!$BN21</f>
        <v>39</v>
      </c>
      <c r="CL21" s="13">
        <f>Sheet1!$CE21-Sheet1!$CD21</f>
        <v>34</v>
      </c>
    </row>
    <row r="22" ht="14.25" customHeight="1">
      <c r="A22" s="30" t="s">
        <v>383</v>
      </c>
      <c r="B22" s="1"/>
      <c r="C22" s="19" t="str">
        <f t="array" ref="C22">AVERAGE(INDIRECT(F40):INDIRECT(F41))/(AVERAGE(INDIRECT(F40):INDIRECT(F41))+AVERAGE(INDIRECT(F54):INDIRECT(F55)))</f>
        <v>#REF!</v>
      </c>
      <c r="D22" s="1"/>
      <c r="E22" s="25" t="s">
        <v>220</v>
      </c>
      <c r="F22" s="26" t="str">
        <f>CONCATENATE("BX",F1-9)</f>
        <v>BX-8</v>
      </c>
      <c r="G22" s="5"/>
      <c r="H22" s="13" t="s">
        <v>58</v>
      </c>
      <c r="I22" s="13" t="s">
        <v>384</v>
      </c>
      <c r="J22" s="13"/>
      <c r="K22" s="13" t="s">
        <v>380</v>
      </c>
      <c r="L22" s="13" t="s">
        <v>83</v>
      </c>
      <c r="M22" s="13" t="s">
        <v>247</v>
      </c>
      <c r="N22" s="13" t="s">
        <v>300</v>
      </c>
      <c r="O22" s="13">
        <v>39.0</v>
      </c>
      <c r="P22" s="13">
        <v>85.0</v>
      </c>
      <c r="Q22" s="13" t="s">
        <v>74</v>
      </c>
      <c r="R22" s="13">
        <v>13.0</v>
      </c>
      <c r="S22" s="13" t="s">
        <v>117</v>
      </c>
      <c r="T22" s="13" t="s">
        <v>365</v>
      </c>
      <c r="U22" s="13">
        <v>12.0</v>
      </c>
      <c r="V22" s="13">
        <v>17.0</v>
      </c>
      <c r="W22" s="13" t="s">
        <v>385</v>
      </c>
      <c r="X22" s="13">
        <v>8.0</v>
      </c>
      <c r="Y22" s="13">
        <v>44.0</v>
      </c>
      <c r="Z22" s="13" t="s">
        <v>71</v>
      </c>
      <c r="AA22" s="13" t="s">
        <v>56</v>
      </c>
      <c r="AB22" s="13" t="s">
        <v>57</v>
      </c>
      <c r="AC22" s="13">
        <v>17.0</v>
      </c>
      <c r="AD22" s="13" t="s">
        <v>57</v>
      </c>
      <c r="AE22" s="13">
        <v>41.0</v>
      </c>
      <c r="AF22" s="13">
        <v>94.0</v>
      </c>
      <c r="AG22" s="13" t="s">
        <v>386</v>
      </c>
      <c r="AH22" s="13">
        <v>16.0</v>
      </c>
      <c r="AI22" s="13" t="s">
        <v>327</v>
      </c>
      <c r="AJ22" s="13" t="s">
        <v>334</v>
      </c>
      <c r="AK22" s="13">
        <v>8.0</v>
      </c>
      <c r="AL22" s="13">
        <v>9.0</v>
      </c>
      <c r="AM22" s="13" t="s">
        <v>387</v>
      </c>
      <c r="AN22" s="13">
        <v>10.0</v>
      </c>
      <c r="AO22" s="13">
        <v>43.0</v>
      </c>
      <c r="AP22" s="13" t="s">
        <v>63</v>
      </c>
      <c r="AQ22" s="13" t="s">
        <v>56</v>
      </c>
      <c r="AR22" s="13" t="s">
        <v>77</v>
      </c>
      <c r="AS22" s="13">
        <v>15.0</v>
      </c>
      <c r="AT22" s="13" t="s">
        <v>150</v>
      </c>
      <c r="AU22" s="13">
        <f>Sheet1!$Y22-Sheet1!$X22</f>
        <v>36</v>
      </c>
      <c r="AV22" s="13">
        <f>Sheet1!$AO22-Sheet1!$AN22</f>
        <v>33</v>
      </c>
      <c r="AW22" s="5"/>
      <c r="AX22" s="13">
        <v>21.0</v>
      </c>
      <c r="AY22" s="13" t="s">
        <v>388</v>
      </c>
      <c r="AZ22" s="13" t="s">
        <v>46</v>
      </c>
      <c r="BA22" s="13" t="s">
        <v>389</v>
      </c>
      <c r="BB22" s="13" t="s">
        <v>48</v>
      </c>
      <c r="BC22" s="13" t="s">
        <v>286</v>
      </c>
      <c r="BD22" s="13" t="s">
        <v>84</v>
      </c>
      <c r="BE22" s="13">
        <v>45.0</v>
      </c>
      <c r="BF22" s="13">
        <v>92.0</v>
      </c>
      <c r="BG22" s="13" t="s">
        <v>390</v>
      </c>
      <c r="BH22" s="13">
        <v>8.0</v>
      </c>
      <c r="BI22" s="13" t="s">
        <v>78</v>
      </c>
      <c r="BJ22" s="13" t="s">
        <v>391</v>
      </c>
      <c r="BK22" s="13">
        <v>21.0</v>
      </c>
      <c r="BL22" s="13">
        <v>31.0</v>
      </c>
      <c r="BM22" s="13" t="s">
        <v>392</v>
      </c>
      <c r="BN22" s="13">
        <v>14.0</v>
      </c>
      <c r="BO22" s="13">
        <v>44.0</v>
      </c>
      <c r="BP22" s="13" t="s">
        <v>104</v>
      </c>
      <c r="BQ22" s="13" t="s">
        <v>89</v>
      </c>
      <c r="BR22" s="13" t="s">
        <v>65</v>
      </c>
      <c r="BS22" s="13">
        <v>12.0</v>
      </c>
      <c r="BT22" s="13" t="s">
        <v>58</v>
      </c>
      <c r="BU22" s="13">
        <v>41.0</v>
      </c>
      <c r="BV22" s="13">
        <v>84.0</v>
      </c>
      <c r="BW22" s="13" t="s">
        <v>393</v>
      </c>
      <c r="BX22" s="13">
        <v>10.0</v>
      </c>
      <c r="BY22" s="13" t="s">
        <v>71</v>
      </c>
      <c r="BZ22" s="13" t="s">
        <v>394</v>
      </c>
      <c r="CA22" s="13">
        <v>18.0</v>
      </c>
      <c r="CB22" s="13">
        <v>22.0</v>
      </c>
      <c r="CC22" s="13" t="s">
        <v>395</v>
      </c>
      <c r="CD22" s="13">
        <v>9.0</v>
      </c>
      <c r="CE22" s="13">
        <v>41.0</v>
      </c>
      <c r="CF22" s="13" t="s">
        <v>58</v>
      </c>
      <c r="CG22" s="13" t="s">
        <v>96</v>
      </c>
      <c r="CH22" s="13" t="s">
        <v>57</v>
      </c>
      <c r="CI22" s="13">
        <v>17.0</v>
      </c>
      <c r="CJ22" s="13" t="s">
        <v>55</v>
      </c>
      <c r="CK22" s="13">
        <f>Sheet1!$BO22-Sheet1!$BN22</f>
        <v>30</v>
      </c>
      <c r="CL22" s="13">
        <f>Sheet1!$CE22-Sheet1!$CD22</f>
        <v>32</v>
      </c>
    </row>
    <row r="23" ht="14.25" customHeight="1">
      <c r="A23" s="29" t="str">
        <f>100*((C18-C20)-(C22-C24))</f>
        <v>#REF!</v>
      </c>
      <c r="B23" s="1"/>
      <c r="C23" s="17" t="s">
        <v>351</v>
      </c>
      <c r="D23" s="1"/>
      <c r="E23" s="25"/>
      <c r="F23" s="26" t="str">
        <f>CONCATENATE("BX",F1)</f>
        <v>BX1</v>
      </c>
      <c r="G23" s="5"/>
      <c r="H23" s="13" t="s">
        <v>66</v>
      </c>
      <c r="I23" s="13" t="s">
        <v>396</v>
      </c>
      <c r="J23" s="13"/>
      <c r="K23" s="13" t="s">
        <v>380</v>
      </c>
      <c r="L23" s="13" t="s">
        <v>48</v>
      </c>
      <c r="M23" s="13" t="s">
        <v>301</v>
      </c>
      <c r="N23" s="13" t="s">
        <v>115</v>
      </c>
      <c r="O23" s="13">
        <v>46.0</v>
      </c>
      <c r="P23" s="13">
        <v>90.0</v>
      </c>
      <c r="Q23" s="13" t="s">
        <v>397</v>
      </c>
      <c r="R23" s="13">
        <v>12.0</v>
      </c>
      <c r="S23" s="13" t="s">
        <v>170</v>
      </c>
      <c r="T23" s="13" t="s">
        <v>251</v>
      </c>
      <c r="U23" s="13">
        <v>16.0</v>
      </c>
      <c r="V23" s="13">
        <v>20.0</v>
      </c>
      <c r="W23" s="13" t="s">
        <v>321</v>
      </c>
      <c r="X23" s="13">
        <v>8.0</v>
      </c>
      <c r="Y23" s="13">
        <v>43.0</v>
      </c>
      <c r="Z23" s="13" t="s">
        <v>55</v>
      </c>
      <c r="AA23" s="13" t="s">
        <v>65</v>
      </c>
      <c r="AB23" s="13" t="s">
        <v>44</v>
      </c>
      <c r="AC23" s="13">
        <v>15.0</v>
      </c>
      <c r="AD23" s="13" t="s">
        <v>97</v>
      </c>
      <c r="AE23" s="13">
        <v>47.0</v>
      </c>
      <c r="AF23" s="13">
        <v>93.0</v>
      </c>
      <c r="AG23" s="13" t="s">
        <v>398</v>
      </c>
      <c r="AH23" s="13">
        <v>12.0</v>
      </c>
      <c r="AI23" s="13" t="s">
        <v>52</v>
      </c>
      <c r="AJ23" s="13" t="s">
        <v>141</v>
      </c>
      <c r="AK23" s="13">
        <v>12.0</v>
      </c>
      <c r="AL23" s="13">
        <v>22.0</v>
      </c>
      <c r="AM23" s="13" t="s">
        <v>399</v>
      </c>
      <c r="AN23" s="13">
        <v>13.0</v>
      </c>
      <c r="AO23" s="13">
        <v>40.0</v>
      </c>
      <c r="AP23" s="13" t="s">
        <v>63</v>
      </c>
      <c r="AQ23" s="13" t="s">
        <v>124</v>
      </c>
      <c r="AR23" s="13" t="s">
        <v>112</v>
      </c>
      <c r="AS23" s="13">
        <v>13.0</v>
      </c>
      <c r="AT23" s="13" t="s">
        <v>150</v>
      </c>
      <c r="AU23" s="13">
        <f>Sheet1!$Y23-Sheet1!$X23</f>
        <v>35</v>
      </c>
      <c r="AV23" s="13">
        <f>Sheet1!$AO23-Sheet1!$AN23</f>
        <v>27</v>
      </c>
      <c r="AW23" s="5"/>
      <c r="AX23" s="13">
        <v>22.0</v>
      </c>
      <c r="AY23" s="13" t="s">
        <v>374</v>
      </c>
      <c r="AZ23" s="13" t="s">
        <v>46</v>
      </c>
      <c r="BA23" s="13" t="s">
        <v>47</v>
      </c>
      <c r="BB23" s="13" t="s">
        <v>48</v>
      </c>
      <c r="BC23" s="13" t="s">
        <v>115</v>
      </c>
      <c r="BD23" s="13" t="s">
        <v>194</v>
      </c>
      <c r="BE23" s="13">
        <v>41.0</v>
      </c>
      <c r="BF23" s="13">
        <v>79.0</v>
      </c>
      <c r="BG23" s="13" t="s">
        <v>400</v>
      </c>
      <c r="BH23" s="13">
        <v>10.0</v>
      </c>
      <c r="BI23" s="13" t="s">
        <v>95</v>
      </c>
      <c r="BJ23" s="13" t="s">
        <v>249</v>
      </c>
      <c r="BK23" s="13">
        <v>26.0</v>
      </c>
      <c r="BL23" s="13">
        <v>32.0</v>
      </c>
      <c r="BM23" s="13" t="s">
        <v>123</v>
      </c>
      <c r="BN23" s="13">
        <v>10.0</v>
      </c>
      <c r="BO23" s="13">
        <v>40.0</v>
      </c>
      <c r="BP23" s="13" t="s">
        <v>109</v>
      </c>
      <c r="BQ23" s="13" t="s">
        <v>89</v>
      </c>
      <c r="BR23" s="13" t="s">
        <v>96</v>
      </c>
      <c r="BS23" s="13">
        <v>18.0</v>
      </c>
      <c r="BT23" s="13" t="s">
        <v>58</v>
      </c>
      <c r="BU23" s="13">
        <v>39.0</v>
      </c>
      <c r="BV23" s="13">
        <v>87.0</v>
      </c>
      <c r="BW23" s="13" t="s">
        <v>381</v>
      </c>
      <c r="BX23" s="13">
        <v>14.0</v>
      </c>
      <c r="BY23" s="13" t="s">
        <v>129</v>
      </c>
      <c r="BZ23" s="13" t="s">
        <v>153</v>
      </c>
      <c r="CA23" s="13">
        <v>19.0</v>
      </c>
      <c r="CB23" s="13">
        <v>23.0</v>
      </c>
      <c r="CC23" s="13" t="s">
        <v>401</v>
      </c>
      <c r="CD23" s="13">
        <v>10.0</v>
      </c>
      <c r="CE23" s="13">
        <v>37.0</v>
      </c>
      <c r="CF23" s="13" t="s">
        <v>71</v>
      </c>
      <c r="CG23" s="13" t="s">
        <v>90</v>
      </c>
      <c r="CH23" s="13" t="s">
        <v>77</v>
      </c>
      <c r="CI23" s="13">
        <v>16.0</v>
      </c>
      <c r="CJ23" s="13" t="s">
        <v>66</v>
      </c>
      <c r="CK23" s="13">
        <f>Sheet1!$BO23-Sheet1!$BN23</f>
        <v>30</v>
      </c>
      <c r="CL23" s="13">
        <f>Sheet1!$CE23-Sheet1!$CD23</f>
        <v>27</v>
      </c>
    </row>
    <row r="24" ht="14.25" customHeight="1">
      <c r="A24" s="30" t="s">
        <v>402</v>
      </c>
      <c r="B24" s="1"/>
      <c r="C24" s="21" t="str">
        <f t="array" ref="C24">AVERAGE(INDIRECT(F46):INDIRECT(F47))/(AVERAGE(INDIRECT(F46):INDIRECT(F47))+AVERAGE(INDIRECT(F56):INDIRECT(F57)))</f>
        <v>#REF!</v>
      </c>
      <c r="D24" s="1"/>
      <c r="E24" s="25" t="s">
        <v>252</v>
      </c>
      <c r="F24" s="26" t="str">
        <f>CONCATENATE("BV",F1-9)</f>
        <v>BV-8</v>
      </c>
      <c r="G24" s="5"/>
      <c r="H24" s="13" t="s">
        <v>109</v>
      </c>
      <c r="I24" s="13" t="s">
        <v>403</v>
      </c>
      <c r="J24" s="13" t="s">
        <v>46</v>
      </c>
      <c r="K24" s="13" t="s">
        <v>254</v>
      </c>
      <c r="L24" s="13" t="s">
        <v>83</v>
      </c>
      <c r="M24" s="13" t="s">
        <v>184</v>
      </c>
      <c r="N24" s="13" t="s">
        <v>286</v>
      </c>
      <c r="O24" s="13">
        <v>43.0</v>
      </c>
      <c r="P24" s="13">
        <v>110.0</v>
      </c>
      <c r="Q24" s="13" t="s">
        <v>131</v>
      </c>
      <c r="R24" s="13">
        <v>12.0</v>
      </c>
      <c r="S24" s="13" t="s">
        <v>86</v>
      </c>
      <c r="T24" s="13" t="s">
        <v>404</v>
      </c>
      <c r="U24" s="13">
        <v>14.0</v>
      </c>
      <c r="V24" s="13">
        <v>19.0</v>
      </c>
      <c r="W24" s="13" t="s">
        <v>88</v>
      </c>
      <c r="X24" s="13">
        <v>15.0</v>
      </c>
      <c r="Y24" s="13">
        <v>55.0</v>
      </c>
      <c r="Z24" s="13" t="s">
        <v>109</v>
      </c>
      <c r="AA24" s="13" t="s">
        <v>96</v>
      </c>
      <c r="AB24" s="13" t="s">
        <v>77</v>
      </c>
      <c r="AC24" s="13">
        <v>12.0</v>
      </c>
      <c r="AD24" s="13" t="s">
        <v>109</v>
      </c>
      <c r="AE24" s="13">
        <v>44.0</v>
      </c>
      <c r="AF24" s="13">
        <v>95.0</v>
      </c>
      <c r="AG24" s="13" t="s">
        <v>405</v>
      </c>
      <c r="AH24" s="13">
        <v>9.0</v>
      </c>
      <c r="AI24" s="13" t="s">
        <v>86</v>
      </c>
      <c r="AJ24" s="13" t="s">
        <v>406</v>
      </c>
      <c r="AK24" s="13">
        <v>22.0</v>
      </c>
      <c r="AL24" s="13">
        <v>29.0</v>
      </c>
      <c r="AM24" s="13" t="s">
        <v>407</v>
      </c>
      <c r="AN24" s="13">
        <v>10.0</v>
      </c>
      <c r="AO24" s="13">
        <v>59.0</v>
      </c>
      <c r="AP24" s="13" t="s">
        <v>71</v>
      </c>
      <c r="AQ24" s="13" t="s">
        <v>57</v>
      </c>
      <c r="AR24" s="13" t="s">
        <v>124</v>
      </c>
      <c r="AS24" s="13">
        <v>15.0</v>
      </c>
      <c r="AT24" s="13" t="s">
        <v>97</v>
      </c>
      <c r="AU24" s="13">
        <f>Sheet1!$Y24-Sheet1!$X24</f>
        <v>40</v>
      </c>
      <c r="AV24" s="13">
        <f>Sheet1!$AO24-Sheet1!$AN24</f>
        <v>49</v>
      </c>
      <c r="AW24" s="5"/>
      <c r="AX24" s="13">
        <v>23.0</v>
      </c>
      <c r="AY24" s="13" t="s">
        <v>408</v>
      </c>
      <c r="AZ24" s="13"/>
      <c r="BA24" s="13" t="s">
        <v>326</v>
      </c>
      <c r="BB24" s="13" t="s">
        <v>83</v>
      </c>
      <c r="BC24" s="13" t="s">
        <v>409</v>
      </c>
      <c r="BD24" s="13" t="s">
        <v>410</v>
      </c>
      <c r="BE24" s="13">
        <v>39.0</v>
      </c>
      <c r="BF24" s="13">
        <v>81.0</v>
      </c>
      <c r="BG24" s="13" t="s">
        <v>75</v>
      </c>
      <c r="BH24" s="13">
        <v>7.0</v>
      </c>
      <c r="BI24" s="13" t="s">
        <v>63</v>
      </c>
      <c r="BJ24" s="13" t="s">
        <v>411</v>
      </c>
      <c r="BK24" s="13">
        <v>20.0</v>
      </c>
      <c r="BL24" s="13">
        <v>24.0</v>
      </c>
      <c r="BM24" s="13" t="s">
        <v>229</v>
      </c>
      <c r="BN24" s="13">
        <v>8.0</v>
      </c>
      <c r="BO24" s="13">
        <v>37.0</v>
      </c>
      <c r="BP24" s="13" t="s">
        <v>97</v>
      </c>
      <c r="BQ24" s="13" t="s">
        <v>96</v>
      </c>
      <c r="BR24" s="13" t="s">
        <v>112</v>
      </c>
      <c r="BS24" s="13">
        <v>18.0</v>
      </c>
      <c r="BT24" s="13" t="s">
        <v>150</v>
      </c>
      <c r="BU24" s="13">
        <v>45.0</v>
      </c>
      <c r="BV24" s="13">
        <v>98.0</v>
      </c>
      <c r="BW24" s="13" t="s">
        <v>74</v>
      </c>
      <c r="BX24" s="13">
        <v>13.0</v>
      </c>
      <c r="BY24" s="13" t="s">
        <v>101</v>
      </c>
      <c r="BZ24" s="13" t="s">
        <v>202</v>
      </c>
      <c r="CA24" s="13">
        <v>18.0</v>
      </c>
      <c r="CB24" s="13">
        <v>23.0</v>
      </c>
      <c r="CC24" s="13" t="s">
        <v>198</v>
      </c>
      <c r="CD24" s="13">
        <v>19.0</v>
      </c>
      <c r="CE24" s="13">
        <v>53.0</v>
      </c>
      <c r="CF24" s="13" t="s">
        <v>164</v>
      </c>
      <c r="CG24" s="13" t="s">
        <v>65</v>
      </c>
      <c r="CH24" s="13" t="s">
        <v>90</v>
      </c>
      <c r="CI24" s="13">
        <v>11.0</v>
      </c>
      <c r="CJ24" s="13" t="s">
        <v>120</v>
      </c>
      <c r="CK24" s="13">
        <f>Sheet1!$BO24-Sheet1!$BN24</f>
        <v>29</v>
      </c>
      <c r="CL24" s="13">
        <f>Sheet1!$CE24-Sheet1!$CD24</f>
        <v>34</v>
      </c>
    </row>
    <row r="25" ht="14.25" customHeight="1">
      <c r="A25" s="29" t="str">
        <f>100*((C26-C28)-(C30-C32))</f>
        <v>#REF!</v>
      </c>
      <c r="B25" s="1"/>
      <c r="C25" s="14" t="s">
        <v>412</v>
      </c>
      <c r="D25" s="1"/>
      <c r="E25" s="25"/>
      <c r="F25" s="26" t="str">
        <f>CONCATENATE("BV",F1)</f>
        <v>BV1</v>
      </c>
      <c r="G25" s="5"/>
      <c r="H25" s="13" t="s">
        <v>95</v>
      </c>
      <c r="I25" s="13" t="s">
        <v>413</v>
      </c>
      <c r="J25" s="13" t="s">
        <v>46</v>
      </c>
      <c r="K25" s="13" t="s">
        <v>254</v>
      </c>
      <c r="L25" s="13" t="s">
        <v>83</v>
      </c>
      <c r="M25" s="13" t="s">
        <v>69</v>
      </c>
      <c r="N25" s="13" t="s">
        <v>346</v>
      </c>
      <c r="O25" s="13">
        <v>47.0</v>
      </c>
      <c r="P25" s="13">
        <v>100.0</v>
      </c>
      <c r="Q25" s="13" t="s">
        <v>414</v>
      </c>
      <c r="R25" s="13">
        <v>7.0</v>
      </c>
      <c r="S25" s="13" t="s">
        <v>101</v>
      </c>
      <c r="T25" s="13" t="s">
        <v>415</v>
      </c>
      <c r="U25" s="13">
        <v>12.0</v>
      </c>
      <c r="V25" s="13">
        <v>14.0</v>
      </c>
      <c r="W25" s="13" t="s">
        <v>154</v>
      </c>
      <c r="X25" s="13">
        <v>7.0</v>
      </c>
      <c r="Y25" s="13">
        <v>46.0</v>
      </c>
      <c r="Z25" s="13" t="s">
        <v>60</v>
      </c>
      <c r="AA25" s="13" t="s">
        <v>64</v>
      </c>
      <c r="AB25" s="13" t="s">
        <v>77</v>
      </c>
      <c r="AC25" s="13">
        <v>13.0</v>
      </c>
      <c r="AD25" s="13" t="s">
        <v>109</v>
      </c>
      <c r="AE25" s="13">
        <v>42.0</v>
      </c>
      <c r="AF25" s="13">
        <v>89.0</v>
      </c>
      <c r="AG25" s="13" t="s">
        <v>322</v>
      </c>
      <c r="AH25" s="13">
        <v>10.0</v>
      </c>
      <c r="AI25" s="13" t="s">
        <v>186</v>
      </c>
      <c r="AJ25" s="13" t="s">
        <v>72</v>
      </c>
      <c r="AK25" s="13">
        <v>20.0</v>
      </c>
      <c r="AL25" s="13">
        <v>24.0</v>
      </c>
      <c r="AM25" s="13" t="s">
        <v>229</v>
      </c>
      <c r="AN25" s="13">
        <v>6.0</v>
      </c>
      <c r="AO25" s="13">
        <v>43.0</v>
      </c>
      <c r="AP25" s="13" t="s">
        <v>66</v>
      </c>
      <c r="AQ25" s="13" t="s">
        <v>96</v>
      </c>
      <c r="AR25" s="13" t="s">
        <v>96</v>
      </c>
      <c r="AS25" s="13">
        <v>16.0</v>
      </c>
      <c r="AT25" s="13" t="s">
        <v>150</v>
      </c>
      <c r="AU25" s="13">
        <f>Sheet1!$Y25-Sheet1!$X25</f>
        <v>39</v>
      </c>
      <c r="AV25" s="13">
        <f>Sheet1!$AO25-Sheet1!$AN25</f>
        <v>37</v>
      </c>
      <c r="AW25" s="5"/>
      <c r="AX25" s="13">
        <v>24.0</v>
      </c>
      <c r="AY25" s="13" t="s">
        <v>396</v>
      </c>
      <c r="AZ25" s="13"/>
      <c r="BA25" s="13" t="s">
        <v>222</v>
      </c>
      <c r="BB25" s="13" t="s">
        <v>48</v>
      </c>
      <c r="BC25" s="13" t="s">
        <v>416</v>
      </c>
      <c r="BD25" s="13" t="s">
        <v>158</v>
      </c>
      <c r="BE25" s="13">
        <v>48.0</v>
      </c>
      <c r="BF25" s="13">
        <v>94.0</v>
      </c>
      <c r="BG25" s="13" t="s">
        <v>397</v>
      </c>
      <c r="BH25" s="13">
        <v>10.0</v>
      </c>
      <c r="BI25" s="13" t="s">
        <v>63</v>
      </c>
      <c r="BJ25" s="13" t="s">
        <v>165</v>
      </c>
      <c r="BK25" s="13">
        <v>18.0</v>
      </c>
      <c r="BL25" s="13">
        <v>22.0</v>
      </c>
      <c r="BM25" s="13" t="s">
        <v>395</v>
      </c>
      <c r="BN25" s="13">
        <v>13.0</v>
      </c>
      <c r="BO25" s="13">
        <v>51.0</v>
      </c>
      <c r="BP25" s="13" t="s">
        <v>63</v>
      </c>
      <c r="BQ25" s="13" t="s">
        <v>124</v>
      </c>
      <c r="BR25" s="13" t="s">
        <v>77</v>
      </c>
      <c r="BS25" s="13">
        <v>15.0</v>
      </c>
      <c r="BT25" s="13" t="s">
        <v>150</v>
      </c>
      <c r="BU25" s="13">
        <v>39.0</v>
      </c>
      <c r="BV25" s="13">
        <v>88.0</v>
      </c>
      <c r="BW25" s="13" t="s">
        <v>417</v>
      </c>
      <c r="BX25" s="13">
        <v>15.0</v>
      </c>
      <c r="BY25" s="13" t="s">
        <v>161</v>
      </c>
      <c r="BZ25" s="13" t="s">
        <v>418</v>
      </c>
      <c r="CA25" s="13">
        <v>15.0</v>
      </c>
      <c r="CB25" s="13">
        <v>17.0</v>
      </c>
      <c r="CC25" s="13" t="s">
        <v>419</v>
      </c>
      <c r="CD25" s="13">
        <v>8.0</v>
      </c>
      <c r="CE25" s="13">
        <v>34.0</v>
      </c>
      <c r="CF25" s="13" t="s">
        <v>58</v>
      </c>
      <c r="CG25" s="13" t="s">
        <v>96</v>
      </c>
      <c r="CH25" s="13" t="s">
        <v>112</v>
      </c>
      <c r="CI25" s="13">
        <v>17.0</v>
      </c>
      <c r="CJ25" s="13" t="s">
        <v>120</v>
      </c>
      <c r="CK25" s="13">
        <f>Sheet1!$BO25-Sheet1!$BN25</f>
        <v>38</v>
      </c>
      <c r="CL25" s="13">
        <f>Sheet1!$CE25-Sheet1!$CD25</f>
        <v>26</v>
      </c>
    </row>
    <row r="26" ht="14.25" customHeight="1">
      <c r="B26" s="1"/>
      <c r="C26" s="10" t="str">
        <f t="array" ref="C26">AVERAGE(INDIRECT(F58):INDIRECT(F59))/AVERAGE(INDIRECT(F6):INDIRECT(F7))</f>
        <v>#REF!</v>
      </c>
      <c r="D26" s="1"/>
      <c r="E26" s="11" t="s">
        <v>420</v>
      </c>
      <c r="F26" s="12" t="str">
        <f>CONCATENATE("AC",E1-9)</f>
        <v>AC-8</v>
      </c>
      <c r="G26" s="5"/>
      <c r="H26" s="13" t="s">
        <v>55</v>
      </c>
      <c r="I26" s="13" t="s">
        <v>421</v>
      </c>
      <c r="J26" s="13" t="s">
        <v>46</v>
      </c>
      <c r="K26" s="13" t="s">
        <v>246</v>
      </c>
      <c r="L26" s="13" t="s">
        <v>83</v>
      </c>
      <c r="M26" s="13" t="s">
        <v>422</v>
      </c>
      <c r="N26" s="13" t="s">
        <v>339</v>
      </c>
      <c r="O26" s="13">
        <v>36.0</v>
      </c>
      <c r="P26" s="13">
        <v>90.0</v>
      </c>
      <c r="Q26" s="13" t="s">
        <v>334</v>
      </c>
      <c r="R26" s="13">
        <v>10.0</v>
      </c>
      <c r="S26" s="13" t="s">
        <v>60</v>
      </c>
      <c r="T26" s="13" t="s">
        <v>140</v>
      </c>
      <c r="U26" s="13">
        <v>13.0</v>
      </c>
      <c r="V26" s="13">
        <v>17.0</v>
      </c>
      <c r="W26" s="13" t="s">
        <v>423</v>
      </c>
      <c r="X26" s="13">
        <v>12.0</v>
      </c>
      <c r="Y26" s="13">
        <v>50.0</v>
      </c>
      <c r="Z26" s="13" t="s">
        <v>78</v>
      </c>
      <c r="AA26" s="13" t="s">
        <v>65</v>
      </c>
      <c r="AB26" s="13" t="s">
        <v>112</v>
      </c>
      <c r="AC26" s="13">
        <v>12.0</v>
      </c>
      <c r="AD26" s="13" t="s">
        <v>97</v>
      </c>
      <c r="AE26" s="13">
        <v>40.0</v>
      </c>
      <c r="AF26" s="13">
        <v>87.0</v>
      </c>
      <c r="AG26" s="13" t="s">
        <v>195</v>
      </c>
      <c r="AH26" s="13">
        <v>10.0</v>
      </c>
      <c r="AI26" s="13" t="s">
        <v>327</v>
      </c>
      <c r="AJ26" s="13" t="s">
        <v>173</v>
      </c>
      <c r="AK26" s="13">
        <v>7.0</v>
      </c>
      <c r="AL26" s="13">
        <v>10.0</v>
      </c>
      <c r="AM26" s="13" t="s">
        <v>424</v>
      </c>
      <c r="AN26" s="13">
        <v>7.0</v>
      </c>
      <c r="AO26" s="13">
        <v>41.0</v>
      </c>
      <c r="AP26" s="13" t="s">
        <v>95</v>
      </c>
      <c r="AQ26" s="13" t="s">
        <v>96</v>
      </c>
      <c r="AR26" s="13" t="s">
        <v>96</v>
      </c>
      <c r="AS26" s="13">
        <v>13.0</v>
      </c>
      <c r="AT26" s="13" t="s">
        <v>297</v>
      </c>
      <c r="AU26" s="13">
        <f>Sheet1!$Y26-Sheet1!$X26</f>
        <v>38</v>
      </c>
      <c r="AV26" s="13">
        <f>Sheet1!$AO26-Sheet1!$AN26</f>
        <v>34</v>
      </c>
      <c r="AW26" s="5"/>
      <c r="AX26" s="13">
        <v>25.0</v>
      </c>
      <c r="AY26" s="13" t="s">
        <v>425</v>
      </c>
      <c r="AZ26" s="13" t="s">
        <v>46</v>
      </c>
      <c r="BA26" s="13" t="s">
        <v>426</v>
      </c>
      <c r="BB26" s="13" t="s">
        <v>48</v>
      </c>
      <c r="BC26" s="13" t="s">
        <v>286</v>
      </c>
      <c r="BD26" s="13" t="s">
        <v>194</v>
      </c>
      <c r="BE26" s="13">
        <v>41.0</v>
      </c>
      <c r="BF26" s="13">
        <v>85.0</v>
      </c>
      <c r="BG26" s="13" t="s">
        <v>369</v>
      </c>
      <c r="BH26" s="13">
        <v>9.0</v>
      </c>
      <c r="BI26" s="13" t="s">
        <v>104</v>
      </c>
      <c r="BJ26" s="13" t="s">
        <v>328</v>
      </c>
      <c r="BK26" s="13">
        <v>28.0</v>
      </c>
      <c r="BL26" s="13">
        <v>35.0</v>
      </c>
      <c r="BM26" s="13" t="s">
        <v>321</v>
      </c>
      <c r="BN26" s="13">
        <v>12.0</v>
      </c>
      <c r="BO26" s="13">
        <v>59.0</v>
      </c>
      <c r="BP26" s="13" t="s">
        <v>95</v>
      </c>
      <c r="BQ26" s="13" t="s">
        <v>77</v>
      </c>
      <c r="BR26" s="13" t="s">
        <v>90</v>
      </c>
      <c r="BS26" s="13">
        <v>17.0</v>
      </c>
      <c r="BT26" s="13" t="s">
        <v>66</v>
      </c>
      <c r="BU26" s="13">
        <v>43.0</v>
      </c>
      <c r="BV26" s="13">
        <v>99.0</v>
      </c>
      <c r="BW26" s="13" t="s">
        <v>241</v>
      </c>
      <c r="BX26" s="13">
        <v>14.0</v>
      </c>
      <c r="BY26" s="13" t="s">
        <v>290</v>
      </c>
      <c r="BZ26" s="13" t="s">
        <v>141</v>
      </c>
      <c r="CA26" s="13">
        <v>11.0</v>
      </c>
      <c r="CB26" s="13">
        <v>19.0</v>
      </c>
      <c r="CC26" s="13" t="s">
        <v>427</v>
      </c>
      <c r="CD26" s="13">
        <v>8.0</v>
      </c>
      <c r="CE26" s="13">
        <v>39.0</v>
      </c>
      <c r="CF26" s="13" t="s">
        <v>95</v>
      </c>
      <c r="CG26" s="13" t="s">
        <v>96</v>
      </c>
      <c r="CH26" s="13" t="s">
        <v>65</v>
      </c>
      <c r="CI26" s="13">
        <v>11.0</v>
      </c>
      <c r="CJ26" s="13" t="s">
        <v>71</v>
      </c>
      <c r="CK26" s="13">
        <f>Sheet1!$BO26-Sheet1!$BN26</f>
        <v>47</v>
      </c>
      <c r="CL26" s="13">
        <f>Sheet1!$CE26-Sheet1!$CD26</f>
        <v>31</v>
      </c>
    </row>
    <row r="27" ht="14.25" customHeight="1">
      <c r="B27" s="1"/>
      <c r="C27" s="14" t="s">
        <v>428</v>
      </c>
      <c r="D27" s="1"/>
      <c r="E27" s="11"/>
      <c r="F27" s="12" t="str">
        <f>CONCATENATE("AC",E1)</f>
        <v>AC1</v>
      </c>
      <c r="G27" s="5"/>
      <c r="H27" s="13" t="s">
        <v>78</v>
      </c>
      <c r="I27" s="13" t="s">
        <v>429</v>
      </c>
      <c r="J27" s="13"/>
      <c r="K27" s="13" t="s">
        <v>430</v>
      </c>
      <c r="L27" s="13" t="s">
        <v>48</v>
      </c>
      <c r="M27" s="13" t="s">
        <v>346</v>
      </c>
      <c r="N27" s="13" t="s">
        <v>49</v>
      </c>
      <c r="O27" s="13">
        <v>45.0</v>
      </c>
      <c r="P27" s="13">
        <v>95.0</v>
      </c>
      <c r="Q27" s="13" t="s">
        <v>431</v>
      </c>
      <c r="R27" s="13">
        <v>15.0</v>
      </c>
      <c r="S27" s="13" t="s">
        <v>52</v>
      </c>
      <c r="T27" s="13" t="s">
        <v>249</v>
      </c>
      <c r="U27" s="13">
        <v>9.0</v>
      </c>
      <c r="V27" s="13">
        <v>16.0</v>
      </c>
      <c r="W27" s="13" t="s">
        <v>432</v>
      </c>
      <c r="X27" s="13">
        <v>12.0</v>
      </c>
      <c r="Y27" s="13">
        <v>49.0</v>
      </c>
      <c r="Z27" s="13" t="s">
        <v>60</v>
      </c>
      <c r="AA27" s="13" t="s">
        <v>65</v>
      </c>
      <c r="AB27" s="13" t="s">
        <v>44</v>
      </c>
      <c r="AC27" s="13">
        <v>13.0</v>
      </c>
      <c r="AD27" s="13" t="s">
        <v>297</v>
      </c>
      <c r="AE27" s="13">
        <v>45.0</v>
      </c>
      <c r="AF27" s="13">
        <v>97.0</v>
      </c>
      <c r="AG27" s="13" t="s">
        <v>433</v>
      </c>
      <c r="AH27" s="13">
        <v>13.0</v>
      </c>
      <c r="AI27" s="13" t="s">
        <v>86</v>
      </c>
      <c r="AJ27" s="13" t="s">
        <v>434</v>
      </c>
      <c r="AK27" s="13">
        <v>6.0</v>
      </c>
      <c r="AL27" s="13">
        <v>9.0</v>
      </c>
      <c r="AM27" s="13" t="s">
        <v>209</v>
      </c>
      <c r="AN27" s="13">
        <v>12.0</v>
      </c>
      <c r="AO27" s="13">
        <v>47.0</v>
      </c>
      <c r="AP27" s="13" t="s">
        <v>95</v>
      </c>
      <c r="AQ27" s="13" t="s">
        <v>89</v>
      </c>
      <c r="AR27" s="13" t="s">
        <v>90</v>
      </c>
      <c r="AS27" s="13">
        <v>14.0</v>
      </c>
      <c r="AT27" s="13" t="s">
        <v>91</v>
      </c>
      <c r="AU27" s="13">
        <f>Sheet1!$Y27-Sheet1!$X27</f>
        <v>37</v>
      </c>
      <c r="AV27" s="13">
        <f>Sheet1!$AO27-Sheet1!$AN27</f>
        <v>35</v>
      </c>
      <c r="AW27" s="5"/>
      <c r="AX27" s="13">
        <v>26.0</v>
      </c>
      <c r="AY27" s="13" t="s">
        <v>435</v>
      </c>
      <c r="AZ27" s="13" t="s">
        <v>46</v>
      </c>
      <c r="BA27" s="13" t="s">
        <v>326</v>
      </c>
      <c r="BB27" s="13" t="s">
        <v>83</v>
      </c>
      <c r="BC27" s="13" t="s">
        <v>346</v>
      </c>
      <c r="BD27" s="13" t="s">
        <v>115</v>
      </c>
      <c r="BE27" s="13">
        <v>42.0</v>
      </c>
      <c r="BF27" s="13">
        <v>86.0</v>
      </c>
      <c r="BG27" s="13" t="s">
        <v>393</v>
      </c>
      <c r="BH27" s="13">
        <v>6.0</v>
      </c>
      <c r="BI27" s="13" t="s">
        <v>63</v>
      </c>
      <c r="BJ27" s="13" t="s">
        <v>264</v>
      </c>
      <c r="BK27" s="13">
        <v>24.0</v>
      </c>
      <c r="BL27" s="13">
        <v>29.0</v>
      </c>
      <c r="BM27" s="13" t="s">
        <v>436</v>
      </c>
      <c r="BN27" s="13">
        <v>11.0</v>
      </c>
      <c r="BO27" s="13">
        <v>46.0</v>
      </c>
      <c r="BP27" s="13" t="s">
        <v>104</v>
      </c>
      <c r="BQ27" s="13" t="s">
        <v>96</v>
      </c>
      <c r="BR27" s="13" t="s">
        <v>90</v>
      </c>
      <c r="BS27" s="13">
        <v>9.0</v>
      </c>
      <c r="BT27" s="13" t="s">
        <v>104</v>
      </c>
      <c r="BU27" s="13">
        <v>40.0</v>
      </c>
      <c r="BV27" s="13">
        <v>93.0</v>
      </c>
      <c r="BW27" s="13" t="s">
        <v>256</v>
      </c>
      <c r="BX27" s="13">
        <v>17.0</v>
      </c>
      <c r="BY27" s="13" t="s">
        <v>86</v>
      </c>
      <c r="BZ27" s="13" t="s">
        <v>340</v>
      </c>
      <c r="CA27" s="13">
        <v>21.0</v>
      </c>
      <c r="CB27" s="13">
        <v>23.0</v>
      </c>
      <c r="CC27" s="13" t="s">
        <v>437</v>
      </c>
      <c r="CD27" s="13">
        <v>15.0</v>
      </c>
      <c r="CE27" s="13">
        <v>47.0</v>
      </c>
      <c r="CF27" s="13" t="s">
        <v>150</v>
      </c>
      <c r="CG27" s="13" t="s">
        <v>90</v>
      </c>
      <c r="CH27" s="13" t="s">
        <v>80</v>
      </c>
      <c r="CI27" s="13">
        <v>8.0</v>
      </c>
      <c r="CJ27" s="13" t="s">
        <v>58</v>
      </c>
      <c r="CK27" s="13">
        <f>Sheet1!$BO27-Sheet1!$BN27</f>
        <v>35</v>
      </c>
      <c r="CL27" s="13">
        <f>Sheet1!$CE27-Sheet1!$CD27</f>
        <v>32</v>
      </c>
    </row>
    <row r="28" ht="14.25" customHeight="1">
      <c r="A28" s="28" t="s">
        <v>438</v>
      </c>
      <c r="B28" s="1"/>
      <c r="C28" s="15" t="str">
        <f t="array" ref="C28">AVERAGE(INDIRECT(F60):INDIRECT(F61))/AVERAGE(INDIRECT(F12):INDIRECT(F13))</f>
        <v>#REF!</v>
      </c>
      <c r="D28" s="1"/>
      <c r="E28" s="11" t="s">
        <v>439</v>
      </c>
      <c r="F28" s="12" t="str">
        <f>CONCATENATE("X",E1-9)</f>
        <v>X-8</v>
      </c>
      <c r="G28" s="5"/>
      <c r="H28" s="13" t="s">
        <v>63</v>
      </c>
      <c r="I28" s="13" t="s">
        <v>440</v>
      </c>
      <c r="J28" s="13"/>
      <c r="K28" s="13" t="s">
        <v>326</v>
      </c>
      <c r="L28" s="13" t="s">
        <v>83</v>
      </c>
      <c r="M28" s="13" t="s">
        <v>308</v>
      </c>
      <c r="N28" s="13" t="s">
        <v>248</v>
      </c>
      <c r="O28" s="13">
        <v>37.0</v>
      </c>
      <c r="P28" s="13">
        <v>85.0</v>
      </c>
      <c r="Q28" s="13" t="s">
        <v>441</v>
      </c>
      <c r="R28" s="13">
        <v>10.0</v>
      </c>
      <c r="S28" s="13" t="s">
        <v>170</v>
      </c>
      <c r="T28" s="13" t="s">
        <v>304</v>
      </c>
      <c r="U28" s="13">
        <v>20.0</v>
      </c>
      <c r="V28" s="13">
        <v>27.0</v>
      </c>
      <c r="W28" s="13" t="s">
        <v>442</v>
      </c>
      <c r="X28" s="13">
        <v>7.0</v>
      </c>
      <c r="Y28" s="13">
        <v>46.0</v>
      </c>
      <c r="Z28" s="13" t="s">
        <v>109</v>
      </c>
      <c r="AA28" s="13" t="s">
        <v>96</v>
      </c>
      <c r="AB28" s="13" t="s">
        <v>112</v>
      </c>
      <c r="AC28" s="13">
        <v>11.0</v>
      </c>
      <c r="AD28" s="13" t="s">
        <v>91</v>
      </c>
      <c r="AE28" s="13">
        <v>42.0</v>
      </c>
      <c r="AF28" s="13">
        <v>96.0</v>
      </c>
      <c r="AG28" s="13" t="s">
        <v>289</v>
      </c>
      <c r="AH28" s="13">
        <v>20.0</v>
      </c>
      <c r="AI28" s="13" t="s">
        <v>443</v>
      </c>
      <c r="AJ28" s="13" t="s">
        <v>359</v>
      </c>
      <c r="AK28" s="13">
        <v>11.0</v>
      </c>
      <c r="AL28" s="13">
        <v>17.0</v>
      </c>
      <c r="AM28" s="13" t="s">
        <v>444</v>
      </c>
      <c r="AN28" s="13">
        <v>15.0</v>
      </c>
      <c r="AO28" s="13">
        <v>54.0</v>
      </c>
      <c r="AP28" s="13" t="s">
        <v>78</v>
      </c>
      <c r="AQ28" s="13" t="s">
        <v>96</v>
      </c>
      <c r="AR28" s="13" t="s">
        <v>65</v>
      </c>
      <c r="AS28" s="13">
        <v>10.0</v>
      </c>
      <c r="AT28" s="13" t="s">
        <v>109</v>
      </c>
      <c r="AU28" s="13">
        <f>Sheet1!$Y28-Sheet1!$X28</f>
        <v>39</v>
      </c>
      <c r="AV28" s="13">
        <f>Sheet1!$AO28-Sheet1!$AN28</f>
        <v>39</v>
      </c>
      <c r="AW28" s="5"/>
      <c r="AX28" s="13">
        <v>27.0</v>
      </c>
      <c r="AY28" s="13" t="s">
        <v>445</v>
      </c>
      <c r="AZ28" s="13" t="s">
        <v>46</v>
      </c>
      <c r="BA28" s="13" t="s">
        <v>338</v>
      </c>
      <c r="BB28" s="13" t="s">
        <v>83</v>
      </c>
      <c r="BC28" s="13" t="s">
        <v>194</v>
      </c>
      <c r="BD28" s="13" t="s">
        <v>301</v>
      </c>
      <c r="BE28" s="13">
        <v>38.0</v>
      </c>
      <c r="BF28" s="13">
        <v>73.0</v>
      </c>
      <c r="BG28" s="13" t="s">
        <v>446</v>
      </c>
      <c r="BH28" s="13">
        <v>7.0</v>
      </c>
      <c r="BI28" s="13" t="s">
        <v>164</v>
      </c>
      <c r="BJ28" s="13" t="s">
        <v>447</v>
      </c>
      <c r="BK28" s="13">
        <v>28.0</v>
      </c>
      <c r="BL28" s="13">
        <v>33.0</v>
      </c>
      <c r="BM28" s="13" t="s">
        <v>149</v>
      </c>
      <c r="BN28" s="13">
        <v>8.0</v>
      </c>
      <c r="BO28" s="13">
        <v>35.0</v>
      </c>
      <c r="BP28" s="13" t="s">
        <v>97</v>
      </c>
      <c r="BQ28" s="13" t="s">
        <v>57</v>
      </c>
      <c r="BR28" s="13" t="s">
        <v>44</v>
      </c>
      <c r="BS28" s="13">
        <v>13.0</v>
      </c>
      <c r="BT28" s="13" t="s">
        <v>150</v>
      </c>
      <c r="BU28" s="13">
        <v>48.0</v>
      </c>
      <c r="BV28" s="13">
        <v>79.0</v>
      </c>
      <c r="BW28" s="13" t="s">
        <v>448</v>
      </c>
      <c r="BX28" s="13">
        <v>10.0</v>
      </c>
      <c r="BY28" s="13" t="s">
        <v>55</v>
      </c>
      <c r="BZ28" s="13" t="s">
        <v>334</v>
      </c>
      <c r="CA28" s="13">
        <v>14.0</v>
      </c>
      <c r="CB28" s="13">
        <v>17.0</v>
      </c>
      <c r="CC28" s="13" t="s">
        <v>449</v>
      </c>
      <c r="CD28" s="13">
        <v>4.0</v>
      </c>
      <c r="CE28" s="13">
        <v>32.0</v>
      </c>
      <c r="CF28" s="13" t="s">
        <v>55</v>
      </c>
      <c r="CG28" s="13" t="s">
        <v>65</v>
      </c>
      <c r="CH28" s="13" t="s">
        <v>112</v>
      </c>
      <c r="CI28" s="13">
        <v>13.0</v>
      </c>
      <c r="CJ28" s="13" t="s">
        <v>95</v>
      </c>
      <c r="CK28" s="13">
        <f>Sheet1!$BO28-Sheet1!$BN28</f>
        <v>27</v>
      </c>
      <c r="CL28" s="13">
        <f>Sheet1!$CE28-Sheet1!$CD28</f>
        <v>28</v>
      </c>
    </row>
    <row r="29" ht="14.25" customHeight="1">
      <c r="A29" s="29" t="str">
        <f>2*((0.45*A19)+(0.35*A21)+(0.14*A23)+(0.06*A25))+A15</f>
        <v>#REF!</v>
      </c>
      <c r="B29" s="1"/>
      <c r="C29" s="17" t="s">
        <v>450</v>
      </c>
      <c r="D29" s="1"/>
      <c r="E29" s="11"/>
      <c r="F29" s="12" t="str">
        <f>CONCATENATE("X",E1)</f>
        <v>X1</v>
      </c>
      <c r="G29" s="5"/>
      <c r="H29" s="13" t="s">
        <v>71</v>
      </c>
      <c r="I29" s="13" t="s">
        <v>451</v>
      </c>
      <c r="J29" s="13" t="s">
        <v>46</v>
      </c>
      <c r="K29" s="13" t="s">
        <v>307</v>
      </c>
      <c r="L29" s="13" t="s">
        <v>83</v>
      </c>
      <c r="M29" s="13" t="s">
        <v>69</v>
      </c>
      <c r="N29" s="13" t="s">
        <v>231</v>
      </c>
      <c r="O29" s="13">
        <v>35.0</v>
      </c>
      <c r="P29" s="13">
        <v>78.0</v>
      </c>
      <c r="Q29" s="13" t="s">
        <v>452</v>
      </c>
      <c r="R29" s="13">
        <v>19.0</v>
      </c>
      <c r="S29" s="13" t="s">
        <v>161</v>
      </c>
      <c r="T29" s="13" t="s">
        <v>405</v>
      </c>
      <c r="U29" s="13">
        <v>24.0</v>
      </c>
      <c r="V29" s="13">
        <v>28.0</v>
      </c>
      <c r="W29" s="13" t="s">
        <v>154</v>
      </c>
      <c r="X29" s="13">
        <v>6.0</v>
      </c>
      <c r="Y29" s="13">
        <v>39.0</v>
      </c>
      <c r="Z29" s="13" t="s">
        <v>55</v>
      </c>
      <c r="AA29" s="13" t="s">
        <v>90</v>
      </c>
      <c r="AB29" s="13" t="s">
        <v>112</v>
      </c>
      <c r="AC29" s="13">
        <v>18.0</v>
      </c>
      <c r="AD29" s="13" t="s">
        <v>55</v>
      </c>
      <c r="AE29" s="13">
        <v>42.0</v>
      </c>
      <c r="AF29" s="13">
        <v>83.0</v>
      </c>
      <c r="AG29" s="13" t="s">
        <v>227</v>
      </c>
      <c r="AH29" s="13">
        <v>12.0</v>
      </c>
      <c r="AI29" s="13" t="s">
        <v>78</v>
      </c>
      <c r="AJ29" s="13" t="s">
        <v>280</v>
      </c>
      <c r="AK29" s="13">
        <v>26.0</v>
      </c>
      <c r="AL29" s="13">
        <v>33.0</v>
      </c>
      <c r="AM29" s="13" t="s">
        <v>453</v>
      </c>
      <c r="AN29" s="13">
        <v>7.0</v>
      </c>
      <c r="AO29" s="13">
        <v>44.0</v>
      </c>
      <c r="AP29" s="13" t="s">
        <v>101</v>
      </c>
      <c r="AQ29" s="13" t="s">
        <v>297</v>
      </c>
      <c r="AR29" s="13" t="s">
        <v>77</v>
      </c>
      <c r="AS29" s="13">
        <v>12.0</v>
      </c>
      <c r="AT29" s="13" t="s">
        <v>120</v>
      </c>
      <c r="AU29" s="13">
        <f>Sheet1!$Y29-Sheet1!$X29</f>
        <v>33</v>
      </c>
      <c r="AV29" s="13">
        <f>Sheet1!$AO29-Sheet1!$AN29</f>
        <v>37</v>
      </c>
      <c r="AW29" s="5"/>
      <c r="AX29" s="13">
        <v>28.0</v>
      </c>
      <c r="AY29" s="13" t="s">
        <v>454</v>
      </c>
      <c r="AZ29" s="13" t="s">
        <v>46</v>
      </c>
      <c r="BA29" s="13" t="s">
        <v>82</v>
      </c>
      <c r="BB29" s="13" t="s">
        <v>83</v>
      </c>
      <c r="BC29" s="13" t="s">
        <v>455</v>
      </c>
      <c r="BD29" s="13" t="s">
        <v>276</v>
      </c>
      <c r="BE29" s="13">
        <v>47.0</v>
      </c>
      <c r="BF29" s="13">
        <v>94.0</v>
      </c>
      <c r="BG29" s="13" t="s">
        <v>92</v>
      </c>
      <c r="BH29" s="13">
        <v>8.0</v>
      </c>
      <c r="BI29" s="13" t="s">
        <v>109</v>
      </c>
      <c r="BJ29" s="13" t="s">
        <v>348</v>
      </c>
      <c r="BK29" s="13">
        <v>21.0</v>
      </c>
      <c r="BL29" s="13">
        <v>24.0</v>
      </c>
      <c r="BM29" s="13" t="s">
        <v>358</v>
      </c>
      <c r="BN29" s="13">
        <v>12.0</v>
      </c>
      <c r="BO29" s="13">
        <v>42.0</v>
      </c>
      <c r="BP29" s="13" t="s">
        <v>97</v>
      </c>
      <c r="BQ29" s="13" t="s">
        <v>96</v>
      </c>
      <c r="BR29" s="13" t="s">
        <v>77</v>
      </c>
      <c r="BS29" s="13">
        <v>12.0</v>
      </c>
      <c r="BT29" s="13" t="s">
        <v>58</v>
      </c>
      <c r="BU29" s="13">
        <v>45.0</v>
      </c>
      <c r="BV29" s="13">
        <v>86.0</v>
      </c>
      <c r="BW29" s="13" t="s">
        <v>456</v>
      </c>
      <c r="BX29" s="13">
        <v>18.0</v>
      </c>
      <c r="BY29" s="13" t="s">
        <v>152</v>
      </c>
      <c r="BZ29" s="13" t="s">
        <v>334</v>
      </c>
      <c r="CA29" s="13">
        <v>26.0</v>
      </c>
      <c r="CB29" s="13">
        <v>31.0</v>
      </c>
      <c r="CC29" s="13" t="s">
        <v>457</v>
      </c>
      <c r="CD29" s="13">
        <v>7.0</v>
      </c>
      <c r="CE29" s="13">
        <v>36.0</v>
      </c>
      <c r="CF29" s="13" t="s">
        <v>120</v>
      </c>
      <c r="CG29" s="13" t="s">
        <v>89</v>
      </c>
      <c r="CH29" s="13" t="s">
        <v>77</v>
      </c>
      <c r="CI29" s="13">
        <v>11.0</v>
      </c>
      <c r="CJ29" s="13" t="s">
        <v>120</v>
      </c>
      <c r="CK29" s="13">
        <f>Sheet1!$BO29-Sheet1!$BN29</f>
        <v>30</v>
      </c>
      <c r="CL29" s="13">
        <f>Sheet1!$CE29-Sheet1!$CD29</f>
        <v>29</v>
      </c>
    </row>
    <row r="30" ht="14.25" customHeight="1">
      <c r="B30" s="1"/>
      <c r="C30" s="19" t="str">
        <f t="array" ref="C30">AVERAGE(INDIRECT(F62):INDIRECT(F63))/AVERAGE(INDIRECT(F18):INDIRECT(F19))</f>
        <v>#REF!</v>
      </c>
      <c r="D30" s="1"/>
      <c r="E30" s="11" t="s">
        <v>458</v>
      </c>
      <c r="F30" s="12" t="str">
        <f>CONCATENATE("V",E1-9)</f>
        <v>V-8</v>
      </c>
      <c r="G30" s="5"/>
      <c r="H30" s="13" t="s">
        <v>106</v>
      </c>
      <c r="I30" s="13" t="s">
        <v>459</v>
      </c>
      <c r="J30" s="13" t="s">
        <v>46</v>
      </c>
      <c r="K30" s="13" t="s">
        <v>430</v>
      </c>
      <c r="L30" s="13" t="s">
        <v>83</v>
      </c>
      <c r="M30" s="13" t="s">
        <v>460</v>
      </c>
      <c r="N30" s="13" t="s">
        <v>461</v>
      </c>
      <c r="O30" s="13">
        <v>31.0</v>
      </c>
      <c r="P30" s="13">
        <v>85.0</v>
      </c>
      <c r="Q30" s="13" t="s">
        <v>462</v>
      </c>
      <c r="R30" s="13">
        <v>12.0</v>
      </c>
      <c r="S30" s="13" t="s">
        <v>327</v>
      </c>
      <c r="T30" s="13" t="s">
        <v>463</v>
      </c>
      <c r="U30" s="13">
        <v>11.0</v>
      </c>
      <c r="V30" s="13">
        <v>21.0</v>
      </c>
      <c r="W30" s="13" t="s">
        <v>464</v>
      </c>
      <c r="X30" s="13">
        <v>8.0</v>
      </c>
      <c r="Y30" s="13">
        <v>46.0</v>
      </c>
      <c r="Z30" s="13" t="s">
        <v>104</v>
      </c>
      <c r="AA30" s="13" t="s">
        <v>77</v>
      </c>
      <c r="AB30" s="13" t="s">
        <v>90</v>
      </c>
      <c r="AC30" s="13">
        <v>10.0</v>
      </c>
      <c r="AD30" s="13" t="s">
        <v>109</v>
      </c>
      <c r="AE30" s="13">
        <v>35.0</v>
      </c>
      <c r="AF30" s="13">
        <v>86.0</v>
      </c>
      <c r="AG30" s="13" t="s">
        <v>465</v>
      </c>
      <c r="AH30" s="13">
        <v>11.0</v>
      </c>
      <c r="AI30" s="13" t="s">
        <v>117</v>
      </c>
      <c r="AJ30" s="13" t="s">
        <v>118</v>
      </c>
      <c r="AK30" s="13">
        <v>17.0</v>
      </c>
      <c r="AL30" s="13">
        <v>25.0</v>
      </c>
      <c r="AM30" s="13" t="s">
        <v>466</v>
      </c>
      <c r="AN30" s="13">
        <v>11.0</v>
      </c>
      <c r="AO30" s="13">
        <v>61.0</v>
      </c>
      <c r="AP30" s="13" t="s">
        <v>109</v>
      </c>
      <c r="AQ30" s="13" t="s">
        <v>90</v>
      </c>
      <c r="AR30" s="13" t="s">
        <v>96</v>
      </c>
      <c r="AS30" s="13">
        <v>12.0</v>
      </c>
      <c r="AT30" s="13" t="s">
        <v>120</v>
      </c>
      <c r="AU30" s="13">
        <f>Sheet1!$Y30-Sheet1!$X30</f>
        <v>38</v>
      </c>
      <c r="AV30" s="13">
        <f>Sheet1!$AO30-Sheet1!$AN30</f>
        <v>50</v>
      </c>
      <c r="AW30" s="5"/>
      <c r="AX30" s="13">
        <v>29.0</v>
      </c>
      <c r="AY30" s="13" t="s">
        <v>451</v>
      </c>
      <c r="AZ30" s="13"/>
      <c r="BA30" s="13" t="s">
        <v>364</v>
      </c>
      <c r="BB30" s="13" t="s">
        <v>48</v>
      </c>
      <c r="BC30" s="13" t="s">
        <v>115</v>
      </c>
      <c r="BD30" s="13" t="s">
        <v>69</v>
      </c>
      <c r="BE30" s="13">
        <v>39.0</v>
      </c>
      <c r="BF30" s="13">
        <v>81.0</v>
      </c>
      <c r="BG30" s="13" t="s">
        <v>75</v>
      </c>
      <c r="BH30" s="13">
        <v>12.0</v>
      </c>
      <c r="BI30" s="13" t="s">
        <v>78</v>
      </c>
      <c r="BJ30" s="13" t="s">
        <v>280</v>
      </c>
      <c r="BK30" s="13">
        <v>28.0</v>
      </c>
      <c r="BL30" s="13">
        <v>32.0</v>
      </c>
      <c r="BM30" s="13" t="s">
        <v>358</v>
      </c>
      <c r="BN30" s="13">
        <v>7.0</v>
      </c>
      <c r="BO30" s="13">
        <v>47.0</v>
      </c>
      <c r="BP30" s="13" t="s">
        <v>109</v>
      </c>
      <c r="BQ30" s="13" t="s">
        <v>124</v>
      </c>
      <c r="BR30" s="13" t="s">
        <v>96</v>
      </c>
      <c r="BS30" s="13">
        <v>20.0</v>
      </c>
      <c r="BT30" s="13" t="s">
        <v>58</v>
      </c>
      <c r="BU30" s="13">
        <v>42.0</v>
      </c>
      <c r="BV30" s="13">
        <v>92.0</v>
      </c>
      <c r="BW30" s="13" t="s">
        <v>187</v>
      </c>
      <c r="BX30" s="13">
        <v>15.0</v>
      </c>
      <c r="BY30" s="13" t="s">
        <v>443</v>
      </c>
      <c r="BZ30" s="13" t="s">
        <v>467</v>
      </c>
      <c r="CA30" s="13">
        <v>14.0</v>
      </c>
      <c r="CB30" s="13">
        <v>18.0</v>
      </c>
      <c r="CC30" s="13" t="s">
        <v>268</v>
      </c>
      <c r="CD30" s="13">
        <v>9.0</v>
      </c>
      <c r="CE30" s="13">
        <v>39.0</v>
      </c>
      <c r="CF30" s="13" t="s">
        <v>78</v>
      </c>
      <c r="CG30" s="13" t="s">
        <v>132</v>
      </c>
      <c r="CH30" s="13" t="s">
        <v>96</v>
      </c>
      <c r="CI30" s="13">
        <v>18.0</v>
      </c>
      <c r="CJ30" s="13" t="s">
        <v>95</v>
      </c>
      <c r="CK30" s="13">
        <f>Sheet1!$BO30-Sheet1!$BN30</f>
        <v>40</v>
      </c>
      <c r="CL30" s="13">
        <f>Sheet1!$CE30-Sheet1!$CD30</f>
        <v>30</v>
      </c>
    </row>
    <row r="31" ht="14.25" customHeight="1">
      <c r="B31" s="1"/>
      <c r="C31" s="17" t="s">
        <v>428</v>
      </c>
      <c r="D31" s="1"/>
      <c r="E31" s="11"/>
      <c r="F31" s="12" t="str">
        <f>CONCATENATE("V",E1)</f>
        <v>V1</v>
      </c>
      <c r="G31" s="5"/>
      <c r="H31" s="13" t="s">
        <v>204</v>
      </c>
      <c r="I31" s="13" t="s">
        <v>468</v>
      </c>
      <c r="J31" s="13" t="s">
        <v>46</v>
      </c>
      <c r="K31" s="13" t="s">
        <v>126</v>
      </c>
      <c r="L31" s="13" t="s">
        <v>48</v>
      </c>
      <c r="M31" s="13" t="s">
        <v>320</v>
      </c>
      <c r="N31" s="13" t="s">
        <v>199</v>
      </c>
      <c r="O31" s="13">
        <v>43.0</v>
      </c>
      <c r="P31" s="13">
        <v>79.0</v>
      </c>
      <c r="Q31" s="13" t="s">
        <v>224</v>
      </c>
      <c r="R31" s="13">
        <v>13.0</v>
      </c>
      <c r="S31" s="13" t="s">
        <v>71</v>
      </c>
      <c r="T31" s="13" t="s">
        <v>433</v>
      </c>
      <c r="U31" s="13">
        <v>18.0</v>
      </c>
      <c r="V31" s="13">
        <v>24.0</v>
      </c>
      <c r="W31" s="13" t="s">
        <v>167</v>
      </c>
      <c r="X31" s="13">
        <v>5.0</v>
      </c>
      <c r="Y31" s="13">
        <v>37.0</v>
      </c>
      <c r="Z31" s="13" t="s">
        <v>66</v>
      </c>
      <c r="AA31" s="13" t="s">
        <v>89</v>
      </c>
      <c r="AB31" s="13" t="s">
        <v>112</v>
      </c>
      <c r="AC31" s="13">
        <v>14.0</v>
      </c>
      <c r="AD31" s="13" t="s">
        <v>120</v>
      </c>
      <c r="AE31" s="13">
        <v>39.0</v>
      </c>
      <c r="AF31" s="13">
        <v>84.0</v>
      </c>
      <c r="AG31" s="13" t="s">
        <v>433</v>
      </c>
      <c r="AH31" s="13">
        <v>8.0</v>
      </c>
      <c r="AI31" s="13" t="s">
        <v>186</v>
      </c>
      <c r="AJ31" s="13" t="s">
        <v>469</v>
      </c>
      <c r="AK31" s="13">
        <v>15.0</v>
      </c>
      <c r="AL31" s="13">
        <v>20.0</v>
      </c>
      <c r="AM31" s="13" t="s">
        <v>167</v>
      </c>
      <c r="AN31" s="13">
        <v>14.0</v>
      </c>
      <c r="AO31" s="13">
        <v>42.0</v>
      </c>
      <c r="AP31" s="13" t="s">
        <v>66</v>
      </c>
      <c r="AQ31" s="13" t="s">
        <v>89</v>
      </c>
      <c r="AR31" s="13" t="s">
        <v>77</v>
      </c>
      <c r="AS31" s="13">
        <v>15.0</v>
      </c>
      <c r="AT31" s="13" t="s">
        <v>164</v>
      </c>
      <c r="AU31" s="13">
        <f>Sheet1!$Y31-Sheet1!$X31</f>
        <v>32</v>
      </c>
      <c r="AV31" s="13">
        <f>Sheet1!$AO31-Sheet1!$AN31</f>
        <v>28</v>
      </c>
      <c r="AW31" s="5"/>
      <c r="AX31" s="13">
        <v>30.0</v>
      </c>
      <c r="AY31" s="13" t="s">
        <v>459</v>
      </c>
      <c r="AZ31" s="13"/>
      <c r="BA31" s="13" t="s">
        <v>271</v>
      </c>
      <c r="BB31" s="13" t="s">
        <v>48</v>
      </c>
      <c r="BC31" s="13" t="s">
        <v>184</v>
      </c>
      <c r="BD31" s="13" t="s">
        <v>409</v>
      </c>
      <c r="BE31" s="13">
        <v>41.0</v>
      </c>
      <c r="BF31" s="13">
        <v>87.0</v>
      </c>
      <c r="BG31" s="13" t="s">
        <v>70</v>
      </c>
      <c r="BH31" s="13">
        <v>7.0</v>
      </c>
      <c r="BI31" s="13" t="s">
        <v>58</v>
      </c>
      <c r="BJ31" s="13" t="s">
        <v>141</v>
      </c>
      <c r="BK31" s="13">
        <v>23.0</v>
      </c>
      <c r="BL31" s="13">
        <v>29.0</v>
      </c>
      <c r="BM31" s="13" t="s">
        <v>243</v>
      </c>
      <c r="BN31" s="13">
        <v>16.0</v>
      </c>
      <c r="BO31" s="13">
        <v>53.0</v>
      </c>
      <c r="BP31" s="13" t="s">
        <v>109</v>
      </c>
      <c r="BQ31" s="13" t="s">
        <v>90</v>
      </c>
      <c r="BR31" s="13" t="s">
        <v>57</v>
      </c>
      <c r="BS31" s="13">
        <v>15.0</v>
      </c>
      <c r="BT31" s="13" t="s">
        <v>120</v>
      </c>
      <c r="BU31" s="13">
        <v>40.0</v>
      </c>
      <c r="BV31" s="13">
        <v>95.0</v>
      </c>
      <c r="BW31" s="13" t="s">
        <v>354</v>
      </c>
      <c r="BX31" s="13">
        <v>7.0</v>
      </c>
      <c r="BY31" s="13" t="s">
        <v>60</v>
      </c>
      <c r="BZ31" s="13" t="s">
        <v>470</v>
      </c>
      <c r="CA31" s="13">
        <v>18.0</v>
      </c>
      <c r="CB31" s="13">
        <v>18.0</v>
      </c>
      <c r="CC31" s="13" t="s">
        <v>471</v>
      </c>
      <c r="CD31" s="13">
        <v>13.0</v>
      </c>
      <c r="CE31" s="13">
        <v>42.0</v>
      </c>
      <c r="CF31" s="13" t="s">
        <v>95</v>
      </c>
      <c r="CG31" s="13" t="s">
        <v>90</v>
      </c>
      <c r="CH31" s="13" t="s">
        <v>96</v>
      </c>
      <c r="CI31" s="13">
        <v>11.0</v>
      </c>
      <c r="CJ31" s="13" t="s">
        <v>104</v>
      </c>
      <c r="CK31" s="13">
        <f>Sheet1!$BO31-Sheet1!$BN31</f>
        <v>37</v>
      </c>
      <c r="CL31" s="13">
        <f>Sheet1!$CE31-Sheet1!$CD31</f>
        <v>29</v>
      </c>
    </row>
    <row r="32" ht="14.25" customHeight="1">
      <c r="B32" s="1"/>
      <c r="C32" s="31" t="str">
        <f t="array" ref="C32">AVERAGE(INDIRECT(F64):INDIRECT(F65))/AVERAGE(INDIRECT(F24):INDIRECT(F25))</f>
        <v>#REF!</v>
      </c>
      <c r="D32" s="1"/>
      <c r="E32" s="11" t="s">
        <v>472</v>
      </c>
      <c r="F32" s="12" t="str">
        <f>CONCATENATE("AS",E1-9)</f>
        <v>AS-8</v>
      </c>
      <c r="G32" s="5"/>
      <c r="H32" s="13" t="s">
        <v>101</v>
      </c>
      <c r="I32" s="13" t="s">
        <v>473</v>
      </c>
      <c r="J32" s="13"/>
      <c r="K32" s="13" t="s">
        <v>175</v>
      </c>
      <c r="L32" s="13" t="s">
        <v>83</v>
      </c>
      <c r="M32" s="13" t="s">
        <v>127</v>
      </c>
      <c r="N32" s="13" t="s">
        <v>158</v>
      </c>
      <c r="O32" s="13">
        <v>32.0</v>
      </c>
      <c r="P32" s="13">
        <v>74.0</v>
      </c>
      <c r="Q32" s="13" t="s">
        <v>217</v>
      </c>
      <c r="R32" s="13">
        <v>14.0</v>
      </c>
      <c r="S32" s="13" t="s">
        <v>203</v>
      </c>
      <c r="T32" s="13" t="s">
        <v>474</v>
      </c>
      <c r="U32" s="13">
        <v>16.0</v>
      </c>
      <c r="V32" s="13">
        <v>19.0</v>
      </c>
      <c r="W32" s="13" t="s">
        <v>361</v>
      </c>
      <c r="X32" s="13">
        <v>5.0</v>
      </c>
      <c r="Y32" s="13">
        <v>38.0</v>
      </c>
      <c r="Z32" s="13" t="s">
        <v>104</v>
      </c>
      <c r="AA32" s="13" t="s">
        <v>96</v>
      </c>
      <c r="AB32" s="13" t="s">
        <v>44</v>
      </c>
      <c r="AC32" s="13">
        <v>17.0</v>
      </c>
      <c r="AD32" s="13" t="s">
        <v>95</v>
      </c>
      <c r="AE32" s="13">
        <v>36.0</v>
      </c>
      <c r="AF32" s="13">
        <v>81.0</v>
      </c>
      <c r="AG32" s="13" t="s">
        <v>475</v>
      </c>
      <c r="AH32" s="13">
        <v>15.0</v>
      </c>
      <c r="AI32" s="13" t="s">
        <v>327</v>
      </c>
      <c r="AJ32" s="13" t="s">
        <v>138</v>
      </c>
      <c r="AK32" s="13">
        <v>21.0</v>
      </c>
      <c r="AL32" s="13">
        <v>25.0</v>
      </c>
      <c r="AM32" s="13" t="s">
        <v>476</v>
      </c>
      <c r="AN32" s="13">
        <v>10.0</v>
      </c>
      <c r="AO32" s="13">
        <v>45.0</v>
      </c>
      <c r="AP32" s="13" t="s">
        <v>204</v>
      </c>
      <c r="AQ32" s="13" t="s">
        <v>57</v>
      </c>
      <c r="AR32" s="13" t="s">
        <v>96</v>
      </c>
      <c r="AS32" s="13">
        <v>13.0</v>
      </c>
      <c r="AT32" s="13" t="s">
        <v>104</v>
      </c>
      <c r="AU32" s="13">
        <f>Sheet1!$Y32-Sheet1!$X32</f>
        <v>33</v>
      </c>
      <c r="AV32" s="13">
        <f>Sheet1!$AO32-Sheet1!$AN32</f>
        <v>35</v>
      </c>
      <c r="AW32" s="5"/>
      <c r="AX32" s="13">
        <v>31.0</v>
      </c>
      <c r="AY32" s="13" t="s">
        <v>468</v>
      </c>
      <c r="AZ32" s="13" t="s">
        <v>46</v>
      </c>
      <c r="BA32" s="13" t="s">
        <v>144</v>
      </c>
      <c r="BB32" s="13" t="s">
        <v>83</v>
      </c>
      <c r="BC32" s="13" t="s">
        <v>247</v>
      </c>
      <c r="BD32" s="13" t="s">
        <v>84</v>
      </c>
      <c r="BE32" s="13">
        <v>33.0</v>
      </c>
      <c r="BF32" s="13">
        <v>85.0</v>
      </c>
      <c r="BG32" s="13" t="s">
        <v>477</v>
      </c>
      <c r="BH32" s="13">
        <v>11.0</v>
      </c>
      <c r="BI32" s="13" t="s">
        <v>129</v>
      </c>
      <c r="BJ32" s="13" t="s">
        <v>478</v>
      </c>
      <c r="BK32" s="13">
        <v>26.0</v>
      </c>
      <c r="BL32" s="13">
        <v>35.0</v>
      </c>
      <c r="BM32" s="13" t="s">
        <v>218</v>
      </c>
      <c r="BN32" s="13">
        <v>11.0</v>
      </c>
      <c r="BO32" s="13">
        <v>45.0</v>
      </c>
      <c r="BP32" s="13" t="s">
        <v>78</v>
      </c>
      <c r="BQ32" s="13" t="s">
        <v>65</v>
      </c>
      <c r="BR32" s="13" t="s">
        <v>57</v>
      </c>
      <c r="BS32" s="13">
        <v>10.0</v>
      </c>
      <c r="BT32" s="13" t="s">
        <v>58</v>
      </c>
      <c r="BU32" s="13">
        <v>40.0</v>
      </c>
      <c r="BV32" s="13">
        <v>81.0</v>
      </c>
      <c r="BW32" s="13" t="s">
        <v>116</v>
      </c>
      <c r="BX32" s="13">
        <v>14.0</v>
      </c>
      <c r="BY32" s="13" t="s">
        <v>117</v>
      </c>
      <c r="BZ32" s="13" t="s">
        <v>447</v>
      </c>
      <c r="CA32" s="13">
        <v>16.0</v>
      </c>
      <c r="CB32" s="13">
        <v>18.0</v>
      </c>
      <c r="CC32" s="13" t="s">
        <v>387</v>
      </c>
      <c r="CD32" s="13">
        <v>5.0</v>
      </c>
      <c r="CE32" s="13">
        <v>39.0</v>
      </c>
      <c r="CF32" s="13" t="s">
        <v>55</v>
      </c>
      <c r="CG32" s="13" t="s">
        <v>90</v>
      </c>
      <c r="CH32" s="13" t="s">
        <v>90</v>
      </c>
      <c r="CI32" s="13">
        <v>14.0</v>
      </c>
      <c r="CJ32" s="13" t="s">
        <v>95</v>
      </c>
      <c r="CK32" s="13">
        <f>Sheet1!$BO32-Sheet1!$BN32</f>
        <v>34</v>
      </c>
      <c r="CL32" s="13">
        <f>Sheet1!$CE32-Sheet1!$CD32</f>
        <v>34</v>
      </c>
    </row>
    <row r="33" ht="14.25" customHeight="1">
      <c r="B33" s="1"/>
      <c r="D33" s="1"/>
      <c r="E33" s="11"/>
      <c r="F33" s="12" t="str">
        <f>CONCATENATE("AS",E1)</f>
        <v>AS1</v>
      </c>
      <c r="G33" s="5"/>
      <c r="H33" s="13" t="s">
        <v>60</v>
      </c>
      <c r="I33" s="13" t="s">
        <v>479</v>
      </c>
      <c r="J33" s="13"/>
      <c r="K33" s="13" t="s">
        <v>239</v>
      </c>
      <c r="L33" s="13" t="s">
        <v>48</v>
      </c>
      <c r="M33" s="13" t="s">
        <v>240</v>
      </c>
      <c r="N33" s="13" t="s">
        <v>159</v>
      </c>
      <c r="O33" s="13">
        <v>37.0</v>
      </c>
      <c r="P33" s="13">
        <v>89.0</v>
      </c>
      <c r="Q33" s="13" t="s">
        <v>480</v>
      </c>
      <c r="R33" s="13">
        <v>18.0</v>
      </c>
      <c r="S33" s="13" t="s">
        <v>267</v>
      </c>
      <c r="T33" s="13" t="s">
        <v>481</v>
      </c>
      <c r="U33" s="13">
        <v>10.0</v>
      </c>
      <c r="V33" s="13">
        <v>11.0</v>
      </c>
      <c r="W33" s="13" t="s">
        <v>244</v>
      </c>
      <c r="X33" s="13">
        <v>10.0</v>
      </c>
      <c r="Y33" s="13">
        <v>52.0</v>
      </c>
      <c r="Z33" s="13" t="s">
        <v>58</v>
      </c>
      <c r="AA33" s="13" t="s">
        <v>96</v>
      </c>
      <c r="AB33" s="13" t="s">
        <v>77</v>
      </c>
      <c r="AC33" s="13">
        <v>17.0</v>
      </c>
      <c r="AD33" s="13" t="s">
        <v>297</v>
      </c>
      <c r="AE33" s="13">
        <v>40.0</v>
      </c>
      <c r="AF33" s="13">
        <v>86.0</v>
      </c>
      <c r="AG33" s="13" t="s">
        <v>85</v>
      </c>
      <c r="AH33" s="13">
        <v>9.0</v>
      </c>
      <c r="AI33" s="13" t="s">
        <v>55</v>
      </c>
      <c r="AJ33" s="13" t="s">
        <v>370</v>
      </c>
      <c r="AK33" s="13">
        <v>10.0</v>
      </c>
      <c r="AL33" s="13">
        <v>15.0</v>
      </c>
      <c r="AM33" s="13" t="s">
        <v>209</v>
      </c>
      <c r="AN33" s="13">
        <v>6.0</v>
      </c>
      <c r="AO33" s="13">
        <v>44.0</v>
      </c>
      <c r="AP33" s="13" t="s">
        <v>104</v>
      </c>
      <c r="AQ33" s="13" t="s">
        <v>56</v>
      </c>
      <c r="AR33" s="13" t="s">
        <v>77</v>
      </c>
      <c r="AS33" s="13">
        <v>12.0</v>
      </c>
      <c r="AT33" s="13" t="s">
        <v>132</v>
      </c>
      <c r="AU33" s="13">
        <f>Sheet1!$Y33-Sheet1!$X33</f>
        <v>42</v>
      </c>
      <c r="AV33" s="13">
        <f>Sheet1!$AO33-Sheet1!$AN33</f>
        <v>38</v>
      </c>
      <c r="AW33" s="5"/>
      <c r="AX33" s="13">
        <v>32.0</v>
      </c>
      <c r="AY33" s="13" t="s">
        <v>482</v>
      </c>
      <c r="AZ33" s="13" t="s">
        <v>46</v>
      </c>
      <c r="BA33" s="13" t="s">
        <v>144</v>
      </c>
      <c r="BB33" s="13" t="s">
        <v>48</v>
      </c>
      <c r="BC33" s="13" t="s">
        <v>49</v>
      </c>
      <c r="BD33" s="13" t="s">
        <v>240</v>
      </c>
      <c r="BE33" s="13">
        <v>33.0</v>
      </c>
      <c r="BF33" s="13">
        <v>80.0</v>
      </c>
      <c r="BG33" s="13" t="s">
        <v>189</v>
      </c>
      <c r="BH33" s="13">
        <v>17.0</v>
      </c>
      <c r="BI33" s="13" t="s">
        <v>86</v>
      </c>
      <c r="BJ33" s="13" t="s">
        <v>340</v>
      </c>
      <c r="BK33" s="13">
        <v>26.0</v>
      </c>
      <c r="BL33" s="13">
        <v>30.0</v>
      </c>
      <c r="BM33" s="13" t="s">
        <v>171</v>
      </c>
      <c r="BN33" s="13">
        <v>12.0</v>
      </c>
      <c r="BO33" s="13">
        <v>54.0</v>
      </c>
      <c r="BP33" s="13" t="s">
        <v>95</v>
      </c>
      <c r="BQ33" s="13" t="s">
        <v>90</v>
      </c>
      <c r="BR33" s="13" t="s">
        <v>65</v>
      </c>
      <c r="BS33" s="13">
        <v>18.0</v>
      </c>
      <c r="BT33" s="13" t="s">
        <v>150</v>
      </c>
      <c r="BU33" s="13">
        <v>40.0</v>
      </c>
      <c r="BV33" s="13">
        <v>93.0</v>
      </c>
      <c r="BW33" s="13" t="s">
        <v>256</v>
      </c>
      <c r="BX33" s="13">
        <v>11.0</v>
      </c>
      <c r="BY33" s="13" t="s">
        <v>129</v>
      </c>
      <c r="BZ33" s="13" t="s">
        <v>478</v>
      </c>
      <c r="CA33" s="13">
        <v>11.0</v>
      </c>
      <c r="CB33" s="13">
        <v>13.0</v>
      </c>
      <c r="CC33" s="13" t="s">
        <v>376</v>
      </c>
      <c r="CD33" s="13">
        <v>8.0</v>
      </c>
      <c r="CE33" s="13">
        <v>38.0</v>
      </c>
      <c r="CF33" s="13" t="s">
        <v>106</v>
      </c>
      <c r="CG33" s="13" t="s">
        <v>124</v>
      </c>
      <c r="CH33" s="13" t="s">
        <v>64</v>
      </c>
      <c r="CI33" s="13">
        <v>10.0</v>
      </c>
      <c r="CJ33" s="13" t="s">
        <v>104</v>
      </c>
      <c r="CK33" s="13">
        <f>Sheet1!$BO33-Sheet1!$BN33</f>
        <v>42</v>
      </c>
      <c r="CL33" s="13">
        <f>Sheet1!$CE33-Sheet1!$CD33</f>
        <v>30</v>
      </c>
    </row>
    <row r="34" ht="14.25" customHeight="1">
      <c r="B34" s="1"/>
      <c r="D34" s="1"/>
      <c r="E34" s="11" t="s">
        <v>483</v>
      </c>
      <c r="F34" s="12" t="str">
        <f>CONCATENATE("AN",E1-9)</f>
        <v>AN-8</v>
      </c>
      <c r="G34" s="5"/>
      <c r="H34" s="13" t="s">
        <v>170</v>
      </c>
      <c r="I34" s="13" t="s">
        <v>484</v>
      </c>
      <c r="J34" s="13"/>
      <c r="K34" s="13" t="s">
        <v>262</v>
      </c>
      <c r="L34" s="13" t="s">
        <v>48</v>
      </c>
      <c r="M34" s="13" t="s">
        <v>115</v>
      </c>
      <c r="N34" s="13" t="s">
        <v>49</v>
      </c>
      <c r="O34" s="13">
        <v>46.0</v>
      </c>
      <c r="P34" s="13">
        <v>88.0</v>
      </c>
      <c r="Q34" s="13" t="s">
        <v>456</v>
      </c>
      <c r="R34" s="13">
        <v>16.0</v>
      </c>
      <c r="S34" s="13" t="s">
        <v>290</v>
      </c>
      <c r="T34" s="13" t="s">
        <v>147</v>
      </c>
      <c r="U34" s="13">
        <v>10.0</v>
      </c>
      <c r="V34" s="13">
        <v>16.0</v>
      </c>
      <c r="W34" s="13" t="s">
        <v>62</v>
      </c>
      <c r="X34" s="13">
        <v>5.0</v>
      </c>
      <c r="Y34" s="13">
        <v>39.0</v>
      </c>
      <c r="Z34" s="13" t="s">
        <v>101</v>
      </c>
      <c r="AA34" s="13" t="s">
        <v>96</v>
      </c>
      <c r="AB34" s="13" t="s">
        <v>80</v>
      </c>
      <c r="AC34" s="13">
        <v>10.0</v>
      </c>
      <c r="AD34" s="13" t="s">
        <v>164</v>
      </c>
      <c r="AE34" s="13">
        <v>43.0</v>
      </c>
      <c r="AF34" s="13">
        <v>97.0</v>
      </c>
      <c r="AG34" s="13" t="s">
        <v>417</v>
      </c>
      <c r="AH34" s="13">
        <v>12.0</v>
      </c>
      <c r="AI34" s="13" t="s">
        <v>327</v>
      </c>
      <c r="AJ34" s="13" t="s">
        <v>463</v>
      </c>
      <c r="AK34" s="13">
        <v>11.0</v>
      </c>
      <c r="AL34" s="13">
        <v>17.0</v>
      </c>
      <c r="AM34" s="13" t="s">
        <v>444</v>
      </c>
      <c r="AN34" s="13">
        <v>19.0</v>
      </c>
      <c r="AO34" s="13">
        <v>54.0</v>
      </c>
      <c r="AP34" s="13" t="s">
        <v>58</v>
      </c>
      <c r="AQ34" s="13" t="s">
        <v>96</v>
      </c>
      <c r="AR34" s="13" t="s">
        <v>90</v>
      </c>
      <c r="AS34" s="13">
        <v>10.0</v>
      </c>
      <c r="AT34" s="13" t="s">
        <v>132</v>
      </c>
      <c r="AU34" s="13">
        <f>Sheet1!$Y34-Sheet1!$X34</f>
        <v>34</v>
      </c>
      <c r="AV34" s="13">
        <f>Sheet1!$AO34-Sheet1!$AN34</f>
        <v>35</v>
      </c>
      <c r="AW34" s="5"/>
      <c r="AX34" s="13">
        <v>33.0</v>
      </c>
      <c r="AY34" s="13" t="s">
        <v>485</v>
      </c>
      <c r="AZ34" s="13"/>
      <c r="BA34" s="13" t="s">
        <v>486</v>
      </c>
      <c r="BB34" s="13" t="s">
        <v>48</v>
      </c>
      <c r="BC34" s="13" t="s">
        <v>194</v>
      </c>
      <c r="BD34" s="13" t="s">
        <v>339</v>
      </c>
      <c r="BE34" s="13">
        <v>39.0</v>
      </c>
      <c r="BF34" s="13">
        <v>90.0</v>
      </c>
      <c r="BG34" s="13" t="s">
        <v>487</v>
      </c>
      <c r="BH34" s="13">
        <v>12.0</v>
      </c>
      <c r="BI34" s="13" t="s">
        <v>106</v>
      </c>
      <c r="BJ34" s="13" t="s">
        <v>488</v>
      </c>
      <c r="BK34" s="13">
        <v>21.0</v>
      </c>
      <c r="BL34" s="13">
        <v>25.0</v>
      </c>
      <c r="BM34" s="13" t="s">
        <v>476</v>
      </c>
      <c r="BN34" s="13">
        <v>8.0</v>
      </c>
      <c r="BO34" s="13">
        <v>39.0</v>
      </c>
      <c r="BP34" s="13" t="s">
        <v>78</v>
      </c>
      <c r="BQ34" s="13" t="s">
        <v>64</v>
      </c>
      <c r="BR34" s="13" t="s">
        <v>96</v>
      </c>
      <c r="BS34" s="13">
        <v>7.0</v>
      </c>
      <c r="BT34" s="13" t="s">
        <v>97</v>
      </c>
      <c r="BU34" s="13">
        <v>32.0</v>
      </c>
      <c r="BV34" s="13">
        <v>78.0</v>
      </c>
      <c r="BW34" s="13" t="s">
        <v>489</v>
      </c>
      <c r="BX34" s="13">
        <v>13.0</v>
      </c>
      <c r="BY34" s="13" t="s">
        <v>117</v>
      </c>
      <c r="BZ34" s="13" t="s">
        <v>365</v>
      </c>
      <c r="CA34" s="13">
        <v>20.0</v>
      </c>
      <c r="CB34" s="13">
        <v>23.0</v>
      </c>
      <c r="CC34" s="13" t="s">
        <v>490</v>
      </c>
      <c r="CD34" s="13">
        <v>10.0</v>
      </c>
      <c r="CE34" s="13">
        <v>50.0</v>
      </c>
      <c r="CF34" s="13" t="s">
        <v>164</v>
      </c>
      <c r="CG34" s="13" t="s">
        <v>80</v>
      </c>
      <c r="CH34" s="13" t="s">
        <v>89</v>
      </c>
      <c r="CI34" s="13">
        <v>18.0</v>
      </c>
      <c r="CJ34" s="13" t="s">
        <v>58</v>
      </c>
      <c r="CK34" s="13">
        <f>Sheet1!$BO34-Sheet1!$BN34</f>
        <v>31</v>
      </c>
      <c r="CL34" s="13">
        <f>Sheet1!$CE34-Sheet1!$CD34</f>
        <v>40</v>
      </c>
    </row>
    <row r="35" ht="14.25" customHeight="1">
      <c r="B35" s="1"/>
      <c r="D35" s="1"/>
      <c r="E35" s="11"/>
      <c r="F35" s="12" t="str">
        <f>CONCATENATE("AN",E1)</f>
        <v>AN1</v>
      </c>
      <c r="G35" s="5"/>
      <c r="H35" s="13" t="s">
        <v>117</v>
      </c>
      <c r="I35" s="13" t="s">
        <v>491</v>
      </c>
      <c r="J35" s="13"/>
      <c r="K35" s="13" t="s">
        <v>246</v>
      </c>
      <c r="L35" s="13" t="s">
        <v>83</v>
      </c>
      <c r="M35" s="13" t="s">
        <v>492</v>
      </c>
      <c r="N35" s="13" t="s">
        <v>493</v>
      </c>
      <c r="O35" s="13">
        <v>37.0</v>
      </c>
      <c r="P35" s="13">
        <v>88.0</v>
      </c>
      <c r="Q35" s="13" t="s">
        <v>494</v>
      </c>
      <c r="R35" s="13">
        <v>11.0</v>
      </c>
      <c r="S35" s="13" t="s">
        <v>443</v>
      </c>
      <c r="T35" s="13" t="s">
        <v>495</v>
      </c>
      <c r="U35" s="13">
        <v>11.0</v>
      </c>
      <c r="V35" s="13">
        <v>15.0</v>
      </c>
      <c r="W35" s="13" t="s">
        <v>350</v>
      </c>
      <c r="X35" s="13">
        <v>7.0</v>
      </c>
      <c r="Y35" s="13">
        <v>37.0</v>
      </c>
      <c r="Z35" s="13" t="s">
        <v>95</v>
      </c>
      <c r="AA35" s="13" t="s">
        <v>57</v>
      </c>
      <c r="AB35" s="13" t="s">
        <v>96</v>
      </c>
      <c r="AC35" s="13">
        <v>14.0</v>
      </c>
      <c r="AD35" s="13" t="s">
        <v>91</v>
      </c>
      <c r="AE35" s="13">
        <v>49.0</v>
      </c>
      <c r="AF35" s="13">
        <v>89.0</v>
      </c>
      <c r="AG35" s="13" t="s">
        <v>496</v>
      </c>
      <c r="AH35" s="13">
        <v>15.0</v>
      </c>
      <c r="AI35" s="13" t="s">
        <v>101</v>
      </c>
      <c r="AJ35" s="13" t="s">
        <v>142</v>
      </c>
      <c r="AK35" s="13">
        <v>13.0</v>
      </c>
      <c r="AL35" s="13">
        <v>16.0</v>
      </c>
      <c r="AM35" s="13" t="s">
        <v>123</v>
      </c>
      <c r="AN35" s="13">
        <v>6.0</v>
      </c>
      <c r="AO35" s="13">
        <v>49.0</v>
      </c>
      <c r="AP35" s="13" t="s">
        <v>204</v>
      </c>
      <c r="AQ35" s="13" t="s">
        <v>96</v>
      </c>
      <c r="AR35" s="13" t="s">
        <v>112</v>
      </c>
      <c r="AS35" s="13">
        <v>12.0</v>
      </c>
      <c r="AT35" s="13" t="s">
        <v>91</v>
      </c>
      <c r="AU35" s="13">
        <f>Sheet1!$Y35-Sheet1!$X35</f>
        <v>30</v>
      </c>
      <c r="AV35" s="13">
        <f>Sheet1!$AO35-Sheet1!$AN35</f>
        <v>43</v>
      </c>
      <c r="AW35" s="5"/>
      <c r="AX35" s="13">
        <v>34.0</v>
      </c>
      <c r="AY35" s="13" t="s">
        <v>491</v>
      </c>
      <c r="AZ35" s="13"/>
      <c r="BA35" s="13" t="s">
        <v>126</v>
      </c>
      <c r="BB35" s="13" t="s">
        <v>83</v>
      </c>
      <c r="BC35" s="13" t="s">
        <v>49</v>
      </c>
      <c r="BD35" s="13" t="s">
        <v>184</v>
      </c>
      <c r="BE35" s="13">
        <v>38.0</v>
      </c>
      <c r="BF35" s="13">
        <v>83.0</v>
      </c>
      <c r="BG35" s="13" t="s">
        <v>347</v>
      </c>
      <c r="BH35" s="13">
        <v>10.0</v>
      </c>
      <c r="BI35" s="13" t="s">
        <v>71</v>
      </c>
      <c r="BJ35" s="13" t="s">
        <v>394</v>
      </c>
      <c r="BK35" s="13">
        <v>23.0</v>
      </c>
      <c r="BL35" s="13">
        <v>35.0</v>
      </c>
      <c r="BM35" s="13" t="s">
        <v>497</v>
      </c>
      <c r="BN35" s="13">
        <v>8.0</v>
      </c>
      <c r="BO35" s="13">
        <v>46.0</v>
      </c>
      <c r="BP35" s="13" t="s">
        <v>55</v>
      </c>
      <c r="BQ35" s="13" t="s">
        <v>89</v>
      </c>
      <c r="BR35" s="13" t="s">
        <v>56</v>
      </c>
      <c r="BS35" s="13">
        <v>19.0</v>
      </c>
      <c r="BT35" s="13" t="s">
        <v>78</v>
      </c>
      <c r="BU35" s="13">
        <v>41.0</v>
      </c>
      <c r="BV35" s="13">
        <v>97.0</v>
      </c>
      <c r="BW35" s="13" t="s">
        <v>498</v>
      </c>
      <c r="BX35" s="13">
        <v>8.0</v>
      </c>
      <c r="BY35" s="13" t="s">
        <v>95</v>
      </c>
      <c r="BZ35" s="13" t="s">
        <v>141</v>
      </c>
      <c r="CA35" s="13">
        <v>22.0</v>
      </c>
      <c r="CB35" s="13">
        <v>29.0</v>
      </c>
      <c r="CC35" s="13" t="s">
        <v>407</v>
      </c>
      <c r="CD35" s="13">
        <v>13.0</v>
      </c>
      <c r="CE35" s="13">
        <v>52.0</v>
      </c>
      <c r="CF35" s="13" t="s">
        <v>95</v>
      </c>
      <c r="CG35" s="13" t="s">
        <v>124</v>
      </c>
      <c r="CH35" s="13" t="s">
        <v>112</v>
      </c>
      <c r="CI35" s="13">
        <v>16.0</v>
      </c>
      <c r="CJ35" s="13" t="s">
        <v>78</v>
      </c>
      <c r="CK35" s="13">
        <f>Sheet1!$BO35-Sheet1!$BN35</f>
        <v>38</v>
      </c>
      <c r="CL35" s="13">
        <f>Sheet1!$CE35-Sheet1!$CD35</f>
        <v>39</v>
      </c>
    </row>
    <row r="36" ht="14.25" customHeight="1">
      <c r="B36" s="1"/>
      <c r="D36" s="1"/>
      <c r="E36" s="11" t="s">
        <v>499</v>
      </c>
      <c r="F36" s="12" t="str">
        <f>CONCATENATE("AL",E1-9)</f>
        <v>AL-8</v>
      </c>
      <c r="G36" s="5"/>
      <c r="H36" s="13" t="s">
        <v>186</v>
      </c>
      <c r="I36" s="13" t="s">
        <v>500</v>
      </c>
      <c r="J36" s="13" t="s">
        <v>46</v>
      </c>
      <c r="K36" s="13" t="s">
        <v>486</v>
      </c>
      <c r="L36" s="13" t="s">
        <v>83</v>
      </c>
      <c r="M36" s="13" t="s">
        <v>501</v>
      </c>
      <c r="N36" s="13" t="s">
        <v>375</v>
      </c>
      <c r="O36" s="13">
        <v>29.0</v>
      </c>
      <c r="P36" s="13">
        <v>87.0</v>
      </c>
      <c r="Q36" s="13" t="s">
        <v>141</v>
      </c>
      <c r="R36" s="13">
        <v>9.0</v>
      </c>
      <c r="S36" s="13" t="s">
        <v>203</v>
      </c>
      <c r="T36" s="13" t="s">
        <v>502</v>
      </c>
      <c r="U36" s="13">
        <v>11.0</v>
      </c>
      <c r="V36" s="13">
        <v>17.0</v>
      </c>
      <c r="W36" s="13" t="s">
        <v>444</v>
      </c>
      <c r="X36" s="13">
        <v>8.0</v>
      </c>
      <c r="Y36" s="13">
        <v>45.0</v>
      </c>
      <c r="Z36" s="13" t="s">
        <v>132</v>
      </c>
      <c r="AA36" s="13" t="s">
        <v>96</v>
      </c>
      <c r="AB36" s="13" t="s">
        <v>77</v>
      </c>
      <c r="AC36" s="13">
        <v>13.0</v>
      </c>
      <c r="AD36" s="13" t="s">
        <v>104</v>
      </c>
      <c r="AE36" s="13">
        <v>32.0</v>
      </c>
      <c r="AF36" s="13">
        <v>83.0</v>
      </c>
      <c r="AG36" s="13" t="s">
        <v>105</v>
      </c>
      <c r="AH36" s="13">
        <v>8.0</v>
      </c>
      <c r="AI36" s="13" t="s">
        <v>327</v>
      </c>
      <c r="AJ36" s="13" t="s">
        <v>314</v>
      </c>
      <c r="AK36" s="13">
        <v>15.0</v>
      </c>
      <c r="AL36" s="13">
        <v>19.0</v>
      </c>
      <c r="AM36" s="13" t="s">
        <v>258</v>
      </c>
      <c r="AN36" s="13">
        <v>7.0</v>
      </c>
      <c r="AO36" s="13">
        <v>53.0</v>
      </c>
      <c r="AP36" s="13" t="s">
        <v>120</v>
      </c>
      <c r="AQ36" s="13" t="s">
        <v>65</v>
      </c>
      <c r="AR36" s="13" t="s">
        <v>112</v>
      </c>
      <c r="AS36" s="13">
        <v>12.0</v>
      </c>
      <c r="AT36" s="13" t="s">
        <v>132</v>
      </c>
      <c r="AU36" s="13">
        <f>Sheet1!$Y36-Sheet1!$X36</f>
        <v>37</v>
      </c>
      <c r="AV36" s="13">
        <f>Sheet1!$AO36-Sheet1!$AN36</f>
        <v>46</v>
      </c>
      <c r="AW36" s="5"/>
      <c r="AX36" s="13">
        <v>35.0</v>
      </c>
      <c r="AY36" s="13" t="s">
        <v>503</v>
      </c>
      <c r="AZ36" s="13"/>
      <c r="BA36" s="13" t="s">
        <v>389</v>
      </c>
      <c r="BB36" s="13" t="s">
        <v>48</v>
      </c>
      <c r="BC36" s="13" t="s">
        <v>504</v>
      </c>
      <c r="BD36" s="13" t="s">
        <v>346</v>
      </c>
      <c r="BE36" s="13">
        <v>50.0</v>
      </c>
      <c r="BF36" s="13">
        <v>88.0</v>
      </c>
      <c r="BG36" s="13" t="s">
        <v>180</v>
      </c>
      <c r="BH36" s="13">
        <v>15.0</v>
      </c>
      <c r="BI36" s="13" t="s">
        <v>186</v>
      </c>
      <c r="BJ36" s="13" t="s">
        <v>332</v>
      </c>
      <c r="BK36" s="13">
        <v>15.0</v>
      </c>
      <c r="BL36" s="13">
        <v>16.0</v>
      </c>
      <c r="BM36" s="13" t="s">
        <v>505</v>
      </c>
      <c r="BN36" s="13">
        <v>6.0</v>
      </c>
      <c r="BO36" s="13">
        <v>39.0</v>
      </c>
      <c r="BP36" s="13" t="s">
        <v>63</v>
      </c>
      <c r="BQ36" s="13" t="s">
        <v>56</v>
      </c>
      <c r="BR36" s="13" t="s">
        <v>96</v>
      </c>
      <c r="BS36" s="13">
        <v>19.0</v>
      </c>
      <c r="BT36" s="13" t="s">
        <v>97</v>
      </c>
      <c r="BU36" s="13">
        <v>44.0</v>
      </c>
      <c r="BV36" s="13">
        <v>91.0</v>
      </c>
      <c r="BW36" s="13" t="s">
        <v>142</v>
      </c>
      <c r="BX36" s="13">
        <v>8.0</v>
      </c>
      <c r="BY36" s="13" t="s">
        <v>106</v>
      </c>
      <c r="BZ36" s="13" t="s">
        <v>107</v>
      </c>
      <c r="CA36" s="13">
        <v>18.0</v>
      </c>
      <c r="CB36" s="13">
        <v>21.0</v>
      </c>
      <c r="CC36" s="13" t="s">
        <v>154</v>
      </c>
      <c r="CD36" s="13">
        <v>8.0</v>
      </c>
      <c r="CE36" s="13">
        <v>34.0</v>
      </c>
      <c r="CF36" s="13" t="s">
        <v>63</v>
      </c>
      <c r="CG36" s="13" t="s">
        <v>65</v>
      </c>
      <c r="CH36" s="13" t="s">
        <v>44</v>
      </c>
      <c r="CI36" s="13">
        <v>19.0</v>
      </c>
      <c r="CJ36" s="13" t="s">
        <v>97</v>
      </c>
      <c r="CK36" s="13">
        <f>Sheet1!$BO36-Sheet1!$BN36</f>
        <v>33</v>
      </c>
      <c r="CL36" s="13">
        <f>Sheet1!$CE36-Sheet1!$CD36</f>
        <v>26</v>
      </c>
    </row>
    <row r="37" ht="14.25" customHeight="1">
      <c r="B37" s="1"/>
      <c r="D37" s="1"/>
      <c r="E37" s="11"/>
      <c r="F37" s="12" t="str">
        <f>CONCATENATE("AL",E1)</f>
        <v>AL1</v>
      </c>
      <c r="G37" s="5"/>
      <c r="H37" s="13" t="s">
        <v>52</v>
      </c>
      <c r="I37" s="13" t="s">
        <v>506</v>
      </c>
      <c r="J37" s="13" t="s">
        <v>46</v>
      </c>
      <c r="K37" s="13" t="s">
        <v>239</v>
      </c>
      <c r="L37" s="13" t="s">
        <v>48</v>
      </c>
      <c r="M37" s="13" t="s">
        <v>50</v>
      </c>
      <c r="N37" s="13" t="s">
        <v>240</v>
      </c>
      <c r="O37" s="13">
        <v>37.0</v>
      </c>
      <c r="P37" s="13">
        <v>85.0</v>
      </c>
      <c r="Q37" s="13" t="s">
        <v>441</v>
      </c>
      <c r="R37" s="13">
        <v>12.0</v>
      </c>
      <c r="S37" s="13" t="s">
        <v>327</v>
      </c>
      <c r="T37" s="13" t="s">
        <v>463</v>
      </c>
      <c r="U37" s="13">
        <v>21.0</v>
      </c>
      <c r="V37" s="13">
        <v>26.0</v>
      </c>
      <c r="W37" s="13" t="s">
        <v>507</v>
      </c>
      <c r="X37" s="13">
        <v>9.0</v>
      </c>
      <c r="Y37" s="13">
        <v>45.0</v>
      </c>
      <c r="Z37" s="13" t="s">
        <v>104</v>
      </c>
      <c r="AA37" s="13" t="s">
        <v>89</v>
      </c>
      <c r="AB37" s="13" t="s">
        <v>77</v>
      </c>
      <c r="AC37" s="13">
        <v>16.0</v>
      </c>
      <c r="AD37" s="13" t="s">
        <v>91</v>
      </c>
      <c r="AE37" s="13">
        <v>40.0</v>
      </c>
      <c r="AF37" s="13">
        <v>85.0</v>
      </c>
      <c r="AG37" s="13" t="s">
        <v>70</v>
      </c>
      <c r="AH37" s="13">
        <v>10.0</v>
      </c>
      <c r="AI37" s="13" t="s">
        <v>101</v>
      </c>
      <c r="AJ37" s="13" t="s">
        <v>257</v>
      </c>
      <c r="AK37" s="13">
        <v>12.0</v>
      </c>
      <c r="AL37" s="13">
        <v>12.0</v>
      </c>
      <c r="AM37" s="13" t="s">
        <v>471</v>
      </c>
      <c r="AN37" s="13">
        <v>6.0</v>
      </c>
      <c r="AO37" s="13">
        <v>46.0</v>
      </c>
      <c r="AP37" s="13" t="s">
        <v>109</v>
      </c>
      <c r="AQ37" s="13" t="s">
        <v>89</v>
      </c>
      <c r="AR37" s="13" t="s">
        <v>90</v>
      </c>
      <c r="AS37" s="13">
        <v>19.0</v>
      </c>
      <c r="AT37" s="13" t="s">
        <v>95</v>
      </c>
      <c r="AU37" s="13">
        <f>Sheet1!$Y37-Sheet1!$X37</f>
        <v>36</v>
      </c>
      <c r="AV37" s="13">
        <f>Sheet1!$AO37-Sheet1!$AN37</f>
        <v>40</v>
      </c>
      <c r="AW37" s="5"/>
      <c r="AX37" s="13">
        <v>36.0</v>
      </c>
      <c r="AY37" s="13" t="s">
        <v>500</v>
      </c>
      <c r="AZ37" s="13"/>
      <c r="BA37" s="13" t="s">
        <v>82</v>
      </c>
      <c r="BB37" s="13" t="s">
        <v>48</v>
      </c>
      <c r="BC37" s="13" t="s">
        <v>508</v>
      </c>
      <c r="BD37" s="13" t="s">
        <v>455</v>
      </c>
      <c r="BE37" s="13">
        <v>48.0</v>
      </c>
      <c r="BF37" s="13">
        <v>93.0</v>
      </c>
      <c r="BG37" s="13" t="s">
        <v>509</v>
      </c>
      <c r="BH37" s="13">
        <v>8.0</v>
      </c>
      <c r="BI37" s="13" t="s">
        <v>55</v>
      </c>
      <c r="BJ37" s="13" t="s">
        <v>510</v>
      </c>
      <c r="BK37" s="13">
        <v>27.0</v>
      </c>
      <c r="BL37" s="13">
        <v>35.0</v>
      </c>
      <c r="BM37" s="13" t="s">
        <v>511</v>
      </c>
      <c r="BN37" s="13">
        <v>8.0</v>
      </c>
      <c r="BO37" s="13">
        <v>50.0</v>
      </c>
      <c r="BP37" s="13" t="s">
        <v>66</v>
      </c>
      <c r="BQ37" s="13" t="s">
        <v>89</v>
      </c>
      <c r="BR37" s="13" t="s">
        <v>96</v>
      </c>
      <c r="BS37" s="13">
        <v>11.0</v>
      </c>
      <c r="BT37" s="13" t="s">
        <v>164</v>
      </c>
      <c r="BU37" s="13">
        <v>44.0</v>
      </c>
      <c r="BV37" s="13">
        <v>100.0</v>
      </c>
      <c r="BW37" s="13" t="s">
        <v>309</v>
      </c>
      <c r="BX37" s="13">
        <v>21.0</v>
      </c>
      <c r="BY37" s="13" t="s">
        <v>267</v>
      </c>
      <c r="BZ37" s="13" t="s">
        <v>371</v>
      </c>
      <c r="CA37" s="13">
        <v>14.0</v>
      </c>
      <c r="CB37" s="13">
        <v>19.0</v>
      </c>
      <c r="CC37" s="13" t="s">
        <v>88</v>
      </c>
      <c r="CD37" s="13">
        <v>12.0</v>
      </c>
      <c r="CE37" s="13">
        <v>52.0</v>
      </c>
      <c r="CF37" s="13" t="s">
        <v>66</v>
      </c>
      <c r="CG37" s="13" t="s">
        <v>57</v>
      </c>
      <c r="CH37" s="13" t="s">
        <v>44</v>
      </c>
      <c r="CI37" s="13">
        <v>16.0</v>
      </c>
      <c r="CJ37" s="13" t="s">
        <v>95</v>
      </c>
      <c r="CK37" s="13">
        <f>Sheet1!$BO37-Sheet1!$BN37</f>
        <v>42</v>
      </c>
      <c r="CL37" s="13">
        <f>Sheet1!$CE37-Sheet1!$CD37</f>
        <v>40</v>
      </c>
    </row>
    <row r="38" ht="14.25" customHeight="1">
      <c r="B38" s="1"/>
      <c r="D38" s="1"/>
      <c r="E38" s="25" t="s">
        <v>512</v>
      </c>
      <c r="F38" s="26" t="str">
        <f>CONCATENATE("BS",F1-9)</f>
        <v>BS-8</v>
      </c>
      <c r="G38" s="5"/>
      <c r="H38" s="13" t="s">
        <v>129</v>
      </c>
      <c r="I38" s="13" t="s">
        <v>513</v>
      </c>
      <c r="J38" s="13"/>
      <c r="K38" s="13" t="s">
        <v>486</v>
      </c>
      <c r="L38" s="13" t="s">
        <v>48</v>
      </c>
      <c r="M38" s="13" t="s">
        <v>168</v>
      </c>
      <c r="N38" s="13" t="s">
        <v>158</v>
      </c>
      <c r="O38" s="13">
        <v>41.0</v>
      </c>
      <c r="P38" s="13">
        <v>91.0</v>
      </c>
      <c r="Q38" s="13" t="s">
        <v>514</v>
      </c>
      <c r="R38" s="13">
        <v>16.0</v>
      </c>
      <c r="S38" s="13" t="s">
        <v>60</v>
      </c>
      <c r="T38" s="13" t="s">
        <v>92</v>
      </c>
      <c r="U38" s="13">
        <v>18.0</v>
      </c>
      <c r="V38" s="13">
        <v>20.0</v>
      </c>
      <c r="W38" s="13" t="s">
        <v>233</v>
      </c>
      <c r="X38" s="13">
        <v>16.0</v>
      </c>
      <c r="Y38" s="13">
        <v>55.0</v>
      </c>
      <c r="Z38" s="13" t="s">
        <v>55</v>
      </c>
      <c r="AA38" s="13" t="s">
        <v>80</v>
      </c>
      <c r="AB38" s="13" t="s">
        <v>96</v>
      </c>
      <c r="AC38" s="13">
        <v>9.0</v>
      </c>
      <c r="AD38" s="13" t="s">
        <v>95</v>
      </c>
      <c r="AE38" s="13">
        <v>35.0</v>
      </c>
      <c r="AF38" s="13">
        <v>82.0</v>
      </c>
      <c r="AG38" s="13" t="s">
        <v>382</v>
      </c>
      <c r="AH38" s="13">
        <v>15.0</v>
      </c>
      <c r="AI38" s="13" t="s">
        <v>117</v>
      </c>
      <c r="AJ38" s="13" t="s">
        <v>515</v>
      </c>
      <c r="AK38" s="13">
        <v>23.0</v>
      </c>
      <c r="AL38" s="13">
        <v>33.0</v>
      </c>
      <c r="AM38" s="13" t="s">
        <v>216</v>
      </c>
      <c r="AN38" s="13">
        <v>6.0</v>
      </c>
      <c r="AO38" s="13">
        <v>37.0</v>
      </c>
      <c r="AP38" s="13" t="s">
        <v>104</v>
      </c>
      <c r="AQ38" s="13" t="s">
        <v>77</v>
      </c>
      <c r="AR38" s="13" t="s">
        <v>89</v>
      </c>
      <c r="AS38" s="13">
        <v>6.0</v>
      </c>
      <c r="AT38" s="13" t="s">
        <v>66</v>
      </c>
      <c r="AU38" s="13">
        <f>Sheet1!$Y38-Sheet1!$X38</f>
        <v>39</v>
      </c>
      <c r="AV38" s="13">
        <f>Sheet1!$AO38-Sheet1!$AN38</f>
        <v>31</v>
      </c>
      <c r="AW38" s="5"/>
      <c r="AX38" s="13">
        <v>37.0</v>
      </c>
      <c r="AY38" s="13" t="s">
        <v>513</v>
      </c>
      <c r="AZ38" s="13" t="s">
        <v>46</v>
      </c>
      <c r="BA38" s="13" t="s">
        <v>271</v>
      </c>
      <c r="BB38" s="13" t="s">
        <v>48</v>
      </c>
      <c r="BC38" s="13" t="s">
        <v>183</v>
      </c>
      <c r="BD38" s="13" t="s">
        <v>409</v>
      </c>
      <c r="BE38" s="13">
        <v>53.0</v>
      </c>
      <c r="BF38" s="13">
        <v>103.0</v>
      </c>
      <c r="BG38" s="13" t="s">
        <v>516</v>
      </c>
      <c r="BH38" s="13">
        <v>10.0</v>
      </c>
      <c r="BI38" s="13" t="s">
        <v>170</v>
      </c>
      <c r="BJ38" s="13" t="s">
        <v>304</v>
      </c>
      <c r="BK38" s="13">
        <v>11.0</v>
      </c>
      <c r="BL38" s="13">
        <v>15.0</v>
      </c>
      <c r="BM38" s="13" t="s">
        <v>350</v>
      </c>
      <c r="BN38" s="13">
        <v>13.0</v>
      </c>
      <c r="BO38" s="13">
        <v>45.0</v>
      </c>
      <c r="BP38" s="13" t="s">
        <v>55</v>
      </c>
      <c r="BQ38" s="13" t="s">
        <v>64</v>
      </c>
      <c r="BR38" s="13" t="s">
        <v>57</v>
      </c>
      <c r="BS38" s="13">
        <v>10.0</v>
      </c>
      <c r="BT38" s="13" t="s">
        <v>91</v>
      </c>
      <c r="BU38" s="13">
        <v>39.0</v>
      </c>
      <c r="BV38" s="13">
        <v>83.0</v>
      </c>
      <c r="BW38" s="13" t="s">
        <v>414</v>
      </c>
      <c r="BX38" s="13">
        <v>14.0</v>
      </c>
      <c r="BY38" s="13" t="s">
        <v>106</v>
      </c>
      <c r="BZ38" s="13" t="s">
        <v>517</v>
      </c>
      <c r="CA38" s="13">
        <v>13.0</v>
      </c>
      <c r="CB38" s="13">
        <v>16.0</v>
      </c>
      <c r="CC38" s="13" t="s">
        <v>123</v>
      </c>
      <c r="CD38" s="13">
        <v>8.0</v>
      </c>
      <c r="CE38" s="13">
        <v>38.0</v>
      </c>
      <c r="CF38" s="13" t="s">
        <v>78</v>
      </c>
      <c r="CG38" s="13" t="s">
        <v>112</v>
      </c>
      <c r="CH38" s="13" t="s">
        <v>96</v>
      </c>
      <c r="CI38" s="13">
        <v>19.0</v>
      </c>
      <c r="CJ38" s="13" t="s">
        <v>97</v>
      </c>
      <c r="CK38" s="13">
        <f>Sheet1!$BO38-Sheet1!$BN38</f>
        <v>32</v>
      </c>
      <c r="CL38" s="13">
        <f>Sheet1!$CE38-Sheet1!$CD38</f>
        <v>30</v>
      </c>
    </row>
    <row r="39" ht="14.25" customHeight="1">
      <c r="B39" s="1"/>
      <c r="D39" s="1"/>
      <c r="E39" s="25"/>
      <c r="F39" s="26" t="str">
        <f>CONCATENATE("BS",F1)</f>
        <v>BS1</v>
      </c>
      <c r="G39" s="5"/>
      <c r="H39" s="13" t="s">
        <v>86</v>
      </c>
      <c r="I39" s="13" t="s">
        <v>518</v>
      </c>
      <c r="J39" s="13"/>
      <c r="K39" s="13" t="s">
        <v>98</v>
      </c>
      <c r="L39" s="13" t="s">
        <v>83</v>
      </c>
      <c r="M39" s="13" t="s">
        <v>339</v>
      </c>
      <c r="N39" s="13" t="s">
        <v>286</v>
      </c>
      <c r="O39" s="13">
        <v>37.0</v>
      </c>
      <c r="P39" s="13">
        <v>76.0</v>
      </c>
      <c r="Q39" s="13" t="s">
        <v>519</v>
      </c>
      <c r="R39" s="13">
        <v>8.0</v>
      </c>
      <c r="S39" s="13" t="s">
        <v>60</v>
      </c>
      <c r="T39" s="13" t="s">
        <v>173</v>
      </c>
      <c r="U39" s="13">
        <v>15.0</v>
      </c>
      <c r="V39" s="13">
        <v>21.0</v>
      </c>
      <c r="W39" s="13" t="s">
        <v>341</v>
      </c>
      <c r="X39" s="13">
        <v>5.0</v>
      </c>
      <c r="Y39" s="13">
        <v>40.0</v>
      </c>
      <c r="Z39" s="13" t="s">
        <v>66</v>
      </c>
      <c r="AA39" s="13" t="s">
        <v>112</v>
      </c>
      <c r="AB39" s="13" t="s">
        <v>77</v>
      </c>
      <c r="AC39" s="13">
        <v>18.0</v>
      </c>
      <c r="AD39" s="13" t="s">
        <v>120</v>
      </c>
      <c r="AE39" s="13">
        <v>44.0</v>
      </c>
      <c r="AF39" s="13">
        <v>90.0</v>
      </c>
      <c r="AG39" s="13" t="s">
        <v>390</v>
      </c>
      <c r="AH39" s="13">
        <v>14.0</v>
      </c>
      <c r="AI39" s="13" t="s">
        <v>186</v>
      </c>
      <c r="AJ39" s="13" t="s">
        <v>334</v>
      </c>
      <c r="AK39" s="13">
        <v>17.0</v>
      </c>
      <c r="AL39" s="13">
        <v>22.0</v>
      </c>
      <c r="AM39" s="13" t="s">
        <v>260</v>
      </c>
      <c r="AN39" s="13">
        <v>11.0</v>
      </c>
      <c r="AO39" s="13">
        <v>44.0</v>
      </c>
      <c r="AP39" s="13" t="s">
        <v>109</v>
      </c>
      <c r="AQ39" s="13" t="s">
        <v>124</v>
      </c>
      <c r="AR39" s="13" t="s">
        <v>80</v>
      </c>
      <c r="AS39" s="13">
        <v>10.0</v>
      </c>
      <c r="AT39" s="13" t="s">
        <v>104</v>
      </c>
      <c r="AU39" s="13">
        <f>Sheet1!$Y39-Sheet1!$X39</f>
        <v>35</v>
      </c>
      <c r="AV39" s="13">
        <f>Sheet1!$AO39-Sheet1!$AN39</f>
        <v>33</v>
      </c>
      <c r="AW39" s="5"/>
      <c r="AX39" s="13">
        <v>38.0</v>
      </c>
      <c r="AY39" s="13" t="s">
        <v>520</v>
      </c>
      <c r="AZ39" s="13" t="s">
        <v>46</v>
      </c>
      <c r="BA39" s="13" t="s">
        <v>68</v>
      </c>
      <c r="BB39" s="13" t="s">
        <v>48</v>
      </c>
      <c r="BC39" s="13" t="s">
        <v>183</v>
      </c>
      <c r="BD39" s="13" t="s">
        <v>199</v>
      </c>
      <c r="BE39" s="13">
        <v>49.0</v>
      </c>
      <c r="BF39" s="13">
        <v>90.0</v>
      </c>
      <c r="BG39" s="13" t="s">
        <v>224</v>
      </c>
      <c r="BH39" s="13">
        <v>11.0</v>
      </c>
      <c r="BI39" s="13" t="s">
        <v>58</v>
      </c>
      <c r="BJ39" s="13" t="s">
        <v>464</v>
      </c>
      <c r="BK39" s="13">
        <v>18.0</v>
      </c>
      <c r="BL39" s="13">
        <v>18.0</v>
      </c>
      <c r="BM39" s="13" t="s">
        <v>471</v>
      </c>
      <c r="BN39" s="13">
        <v>10.0</v>
      </c>
      <c r="BO39" s="13">
        <v>49.0</v>
      </c>
      <c r="BP39" s="13" t="s">
        <v>78</v>
      </c>
      <c r="BQ39" s="13" t="s">
        <v>132</v>
      </c>
      <c r="BR39" s="13" t="s">
        <v>96</v>
      </c>
      <c r="BS39" s="13">
        <v>16.0</v>
      </c>
      <c r="BT39" s="13" t="s">
        <v>97</v>
      </c>
      <c r="BU39" s="13">
        <v>40.0</v>
      </c>
      <c r="BV39" s="13">
        <v>82.0</v>
      </c>
      <c r="BW39" s="13" t="s">
        <v>393</v>
      </c>
      <c r="BX39" s="13">
        <v>8.0</v>
      </c>
      <c r="BY39" s="13" t="s">
        <v>95</v>
      </c>
      <c r="BZ39" s="13" t="s">
        <v>141</v>
      </c>
      <c r="CA39" s="13">
        <v>13.0</v>
      </c>
      <c r="CB39" s="13">
        <v>22.0</v>
      </c>
      <c r="CC39" s="13" t="s">
        <v>521</v>
      </c>
      <c r="CD39" s="13">
        <v>6.0</v>
      </c>
      <c r="CE39" s="13">
        <v>32.0</v>
      </c>
      <c r="CF39" s="13" t="s">
        <v>97</v>
      </c>
      <c r="CG39" s="13" t="s">
        <v>56</v>
      </c>
      <c r="CH39" s="13" t="s">
        <v>80</v>
      </c>
      <c r="CI39" s="13">
        <v>18.0</v>
      </c>
      <c r="CJ39" s="13" t="s">
        <v>91</v>
      </c>
      <c r="CK39" s="13">
        <f>Sheet1!$BO39-Sheet1!$BN39</f>
        <v>39</v>
      </c>
      <c r="CL39" s="13">
        <f>Sheet1!$CE39-Sheet1!$CD39</f>
        <v>26</v>
      </c>
    </row>
    <row r="40" ht="14.25" customHeight="1">
      <c r="B40" s="1"/>
      <c r="D40" s="1"/>
      <c r="E40" s="25" t="s">
        <v>522</v>
      </c>
      <c r="F40" s="26" t="str">
        <f>CONCATENATE("BN",F1-9)</f>
        <v>BN-8</v>
      </c>
      <c r="G40" s="5"/>
      <c r="H40" s="13" t="s">
        <v>203</v>
      </c>
      <c r="I40" s="13" t="s">
        <v>523</v>
      </c>
      <c r="J40" s="13"/>
      <c r="K40" s="13" t="s">
        <v>307</v>
      </c>
      <c r="L40" s="13" t="s">
        <v>48</v>
      </c>
      <c r="M40" s="13" t="s">
        <v>255</v>
      </c>
      <c r="N40" s="13" t="s">
        <v>231</v>
      </c>
      <c r="O40" s="13">
        <v>42.0</v>
      </c>
      <c r="P40" s="13">
        <v>73.0</v>
      </c>
      <c r="Q40" s="13" t="s">
        <v>524</v>
      </c>
      <c r="R40" s="13">
        <v>16.0</v>
      </c>
      <c r="S40" s="13" t="s">
        <v>101</v>
      </c>
      <c r="T40" s="13" t="s">
        <v>509</v>
      </c>
      <c r="U40" s="13">
        <v>28.0</v>
      </c>
      <c r="V40" s="13">
        <v>34.0</v>
      </c>
      <c r="W40" s="13" t="s">
        <v>449</v>
      </c>
      <c r="X40" s="13">
        <v>8.0</v>
      </c>
      <c r="Y40" s="13">
        <v>46.0</v>
      </c>
      <c r="Z40" s="13" t="s">
        <v>78</v>
      </c>
      <c r="AA40" s="13" t="s">
        <v>57</v>
      </c>
      <c r="AB40" s="13" t="s">
        <v>77</v>
      </c>
      <c r="AC40" s="13">
        <v>24.0</v>
      </c>
      <c r="AD40" s="13" t="s">
        <v>104</v>
      </c>
      <c r="AE40" s="13">
        <v>47.0</v>
      </c>
      <c r="AF40" s="13">
        <v>92.0</v>
      </c>
      <c r="AG40" s="13" t="s">
        <v>397</v>
      </c>
      <c r="AH40" s="13">
        <v>7.0</v>
      </c>
      <c r="AI40" s="13" t="s">
        <v>66</v>
      </c>
      <c r="AJ40" s="13" t="s">
        <v>122</v>
      </c>
      <c r="AK40" s="13">
        <v>21.0</v>
      </c>
      <c r="AL40" s="13">
        <v>29.0</v>
      </c>
      <c r="AM40" s="13" t="s">
        <v>525</v>
      </c>
      <c r="AN40" s="13">
        <v>11.0</v>
      </c>
      <c r="AO40" s="13">
        <v>32.0</v>
      </c>
      <c r="AP40" s="13" t="s">
        <v>63</v>
      </c>
      <c r="AQ40" s="13" t="s">
        <v>132</v>
      </c>
      <c r="AR40" s="13" t="s">
        <v>112</v>
      </c>
      <c r="AS40" s="13">
        <v>7.0</v>
      </c>
      <c r="AT40" s="13" t="s">
        <v>58</v>
      </c>
      <c r="AU40" s="13">
        <f>Sheet1!$Y40-Sheet1!$X40</f>
        <v>38</v>
      </c>
      <c r="AV40" s="13">
        <f>Sheet1!$AO40-Sheet1!$AN40</f>
        <v>21</v>
      </c>
      <c r="AW40" s="5"/>
      <c r="AX40" s="13">
        <v>39.0</v>
      </c>
      <c r="AY40" s="13" t="s">
        <v>523</v>
      </c>
      <c r="AZ40" s="13"/>
      <c r="BA40" s="13" t="s">
        <v>239</v>
      </c>
      <c r="BB40" s="13" t="s">
        <v>48</v>
      </c>
      <c r="BC40" s="13" t="s">
        <v>276</v>
      </c>
      <c r="BD40" s="13" t="s">
        <v>159</v>
      </c>
      <c r="BE40" s="13">
        <v>56.0</v>
      </c>
      <c r="BF40" s="13">
        <v>98.0</v>
      </c>
      <c r="BG40" s="13" t="s">
        <v>526</v>
      </c>
      <c r="BH40" s="13">
        <v>15.0</v>
      </c>
      <c r="BI40" s="13" t="s">
        <v>106</v>
      </c>
      <c r="BJ40" s="13" t="s">
        <v>527</v>
      </c>
      <c r="BK40" s="13">
        <v>7.0</v>
      </c>
      <c r="BL40" s="13">
        <v>11.0</v>
      </c>
      <c r="BM40" s="13" t="s">
        <v>528</v>
      </c>
      <c r="BN40" s="13">
        <v>13.0</v>
      </c>
      <c r="BO40" s="13">
        <v>54.0</v>
      </c>
      <c r="BP40" s="13" t="s">
        <v>186</v>
      </c>
      <c r="BQ40" s="13" t="s">
        <v>57</v>
      </c>
      <c r="BR40" s="13" t="s">
        <v>57</v>
      </c>
      <c r="BS40" s="13">
        <v>11.0</v>
      </c>
      <c r="BT40" s="13" t="s">
        <v>63</v>
      </c>
      <c r="BU40" s="13">
        <v>36.0</v>
      </c>
      <c r="BV40" s="13">
        <v>85.0</v>
      </c>
      <c r="BW40" s="13" t="s">
        <v>349</v>
      </c>
      <c r="BX40" s="13">
        <v>4.0</v>
      </c>
      <c r="BY40" s="13" t="s">
        <v>58</v>
      </c>
      <c r="BZ40" s="13" t="s">
        <v>529</v>
      </c>
      <c r="CA40" s="13">
        <v>23.0</v>
      </c>
      <c r="CB40" s="13">
        <v>31.0</v>
      </c>
      <c r="CC40" s="13" t="s">
        <v>530</v>
      </c>
      <c r="CD40" s="13">
        <v>10.0</v>
      </c>
      <c r="CE40" s="13">
        <v>32.0</v>
      </c>
      <c r="CF40" s="13" t="s">
        <v>104</v>
      </c>
      <c r="CG40" s="13" t="s">
        <v>65</v>
      </c>
      <c r="CH40" s="13" t="s">
        <v>56</v>
      </c>
      <c r="CI40" s="13">
        <v>9.0</v>
      </c>
      <c r="CJ40" s="13" t="s">
        <v>132</v>
      </c>
      <c r="CK40" s="13">
        <f>Sheet1!$BO40-Sheet1!$BN40</f>
        <v>41</v>
      </c>
      <c r="CL40" s="13">
        <f>Sheet1!$CE40-Sheet1!$CD40</f>
        <v>22</v>
      </c>
    </row>
    <row r="41" ht="14.25" customHeight="1">
      <c r="B41" s="1"/>
      <c r="D41" s="1"/>
      <c r="E41" s="25"/>
      <c r="F41" s="26" t="str">
        <f>CONCATENATE("BN",F1)</f>
        <v>BN1</v>
      </c>
      <c r="G41" s="5"/>
      <c r="H41" s="13" t="s">
        <v>327</v>
      </c>
      <c r="I41" s="13" t="s">
        <v>531</v>
      </c>
      <c r="J41" s="13" t="s">
        <v>46</v>
      </c>
      <c r="K41" s="13" t="s">
        <v>271</v>
      </c>
      <c r="L41" s="13" t="s">
        <v>83</v>
      </c>
      <c r="M41" s="13" t="s">
        <v>240</v>
      </c>
      <c r="N41" s="13" t="s">
        <v>455</v>
      </c>
      <c r="O41" s="13">
        <v>42.0</v>
      </c>
      <c r="P41" s="13">
        <v>90.0</v>
      </c>
      <c r="Q41" s="13" t="s">
        <v>532</v>
      </c>
      <c r="R41" s="13">
        <v>7.0</v>
      </c>
      <c r="S41" s="13" t="s">
        <v>104</v>
      </c>
      <c r="T41" s="13" t="s">
        <v>533</v>
      </c>
      <c r="U41" s="13">
        <v>11.0</v>
      </c>
      <c r="V41" s="13">
        <v>13.0</v>
      </c>
      <c r="W41" s="13" t="s">
        <v>376</v>
      </c>
      <c r="X41" s="13">
        <v>13.0</v>
      </c>
      <c r="Y41" s="13">
        <v>43.0</v>
      </c>
      <c r="Z41" s="13" t="s">
        <v>91</v>
      </c>
      <c r="AA41" s="13" t="s">
        <v>89</v>
      </c>
      <c r="AB41" s="13" t="s">
        <v>89</v>
      </c>
      <c r="AC41" s="13">
        <v>17.0</v>
      </c>
      <c r="AD41" s="13" t="s">
        <v>150</v>
      </c>
      <c r="AE41" s="13">
        <v>48.0</v>
      </c>
      <c r="AF41" s="13">
        <v>94.0</v>
      </c>
      <c r="AG41" s="13" t="s">
        <v>397</v>
      </c>
      <c r="AH41" s="13">
        <v>12.0</v>
      </c>
      <c r="AI41" s="13" t="s">
        <v>52</v>
      </c>
      <c r="AJ41" s="13" t="s">
        <v>141</v>
      </c>
      <c r="AK41" s="13">
        <v>15.0</v>
      </c>
      <c r="AL41" s="13">
        <v>18.0</v>
      </c>
      <c r="AM41" s="13" t="s">
        <v>229</v>
      </c>
      <c r="AN41" s="13">
        <v>12.0</v>
      </c>
      <c r="AO41" s="13">
        <v>42.0</v>
      </c>
      <c r="AP41" s="13" t="s">
        <v>95</v>
      </c>
      <c r="AQ41" s="13" t="s">
        <v>65</v>
      </c>
      <c r="AR41" s="13" t="s">
        <v>77</v>
      </c>
      <c r="AS41" s="13">
        <v>11.0</v>
      </c>
      <c r="AT41" s="13" t="s">
        <v>164</v>
      </c>
      <c r="AU41" s="13">
        <f>Sheet1!$Y41-Sheet1!$X41</f>
        <v>30</v>
      </c>
      <c r="AV41" s="13">
        <f>Sheet1!$AO41-Sheet1!$AN41</f>
        <v>30</v>
      </c>
      <c r="AW41" s="5"/>
      <c r="AX41" s="13">
        <v>40.0</v>
      </c>
      <c r="AY41" s="13" t="s">
        <v>531</v>
      </c>
      <c r="AZ41" s="13"/>
      <c r="BA41" s="13" t="s">
        <v>98</v>
      </c>
      <c r="BB41" s="13" t="s">
        <v>48</v>
      </c>
      <c r="BC41" s="13" t="s">
        <v>159</v>
      </c>
      <c r="BD41" s="13" t="s">
        <v>492</v>
      </c>
      <c r="BE41" s="13">
        <v>37.0</v>
      </c>
      <c r="BF41" s="13">
        <v>90.0</v>
      </c>
      <c r="BG41" s="13" t="s">
        <v>534</v>
      </c>
      <c r="BH41" s="13">
        <v>11.0</v>
      </c>
      <c r="BI41" s="13" t="s">
        <v>60</v>
      </c>
      <c r="BJ41" s="13" t="s">
        <v>200</v>
      </c>
      <c r="BK41" s="13">
        <v>14.0</v>
      </c>
      <c r="BL41" s="13">
        <v>19.0</v>
      </c>
      <c r="BM41" s="13" t="s">
        <v>88</v>
      </c>
      <c r="BN41" s="13">
        <v>12.0</v>
      </c>
      <c r="BO41" s="13">
        <v>50.0</v>
      </c>
      <c r="BP41" s="13" t="s">
        <v>97</v>
      </c>
      <c r="BQ41" s="13" t="s">
        <v>65</v>
      </c>
      <c r="BR41" s="13" t="s">
        <v>56</v>
      </c>
      <c r="BS41" s="13">
        <v>11.0</v>
      </c>
      <c r="BT41" s="13" t="s">
        <v>66</v>
      </c>
      <c r="BU41" s="13">
        <v>37.0</v>
      </c>
      <c r="BV41" s="13">
        <v>84.0</v>
      </c>
      <c r="BW41" s="13" t="s">
        <v>309</v>
      </c>
      <c r="BX41" s="13">
        <v>8.0</v>
      </c>
      <c r="BY41" s="13" t="s">
        <v>95</v>
      </c>
      <c r="BZ41" s="13" t="s">
        <v>141</v>
      </c>
      <c r="CA41" s="13">
        <v>14.0</v>
      </c>
      <c r="CB41" s="13">
        <v>22.0</v>
      </c>
      <c r="CC41" s="13" t="s">
        <v>528</v>
      </c>
      <c r="CD41" s="13">
        <v>9.0</v>
      </c>
      <c r="CE41" s="13">
        <v>47.0</v>
      </c>
      <c r="CF41" s="13" t="s">
        <v>97</v>
      </c>
      <c r="CG41" s="13" t="s">
        <v>57</v>
      </c>
      <c r="CH41" s="13" t="s">
        <v>90</v>
      </c>
      <c r="CI41" s="13">
        <v>12.0</v>
      </c>
      <c r="CJ41" s="13" t="s">
        <v>109</v>
      </c>
      <c r="CK41" s="13">
        <f>Sheet1!$BO41-Sheet1!$BN41</f>
        <v>38</v>
      </c>
      <c r="CL41" s="13">
        <f>Sheet1!$CE41-Sheet1!$CD41</f>
        <v>38</v>
      </c>
    </row>
    <row r="42" ht="14.25" customHeight="1">
      <c r="B42" s="1"/>
      <c r="D42" s="1"/>
      <c r="E42" s="25" t="s">
        <v>535</v>
      </c>
      <c r="F42" s="26" t="str">
        <f>CONCATENATE("BL",F1-9)</f>
        <v>BL-8</v>
      </c>
      <c r="G42" s="5"/>
      <c r="H42" s="13" t="s">
        <v>161</v>
      </c>
      <c r="I42" s="13" t="s">
        <v>536</v>
      </c>
      <c r="J42" s="13" t="s">
        <v>46</v>
      </c>
      <c r="K42" s="13" t="s">
        <v>262</v>
      </c>
      <c r="L42" s="13" t="s">
        <v>83</v>
      </c>
      <c r="M42" s="13" t="s">
        <v>146</v>
      </c>
      <c r="N42" s="13" t="s">
        <v>168</v>
      </c>
      <c r="O42" s="13">
        <v>34.0</v>
      </c>
      <c r="P42" s="13">
        <v>93.0</v>
      </c>
      <c r="Q42" s="13" t="s">
        <v>418</v>
      </c>
      <c r="R42" s="13">
        <v>13.0</v>
      </c>
      <c r="S42" s="13" t="s">
        <v>117</v>
      </c>
      <c r="T42" s="13" t="s">
        <v>365</v>
      </c>
      <c r="U42" s="13">
        <v>12.0</v>
      </c>
      <c r="V42" s="13">
        <v>16.0</v>
      </c>
      <c r="W42" s="13" t="s">
        <v>167</v>
      </c>
      <c r="X42" s="13">
        <v>11.0</v>
      </c>
      <c r="Y42" s="13">
        <v>38.0</v>
      </c>
      <c r="Z42" s="13" t="s">
        <v>120</v>
      </c>
      <c r="AA42" s="13" t="s">
        <v>90</v>
      </c>
      <c r="AB42" s="13" t="s">
        <v>112</v>
      </c>
      <c r="AC42" s="13">
        <v>9.0</v>
      </c>
      <c r="AD42" s="13" t="s">
        <v>132</v>
      </c>
      <c r="AE42" s="13">
        <v>47.0</v>
      </c>
      <c r="AF42" s="13">
        <v>87.0</v>
      </c>
      <c r="AG42" s="13" t="s">
        <v>537</v>
      </c>
      <c r="AH42" s="13">
        <v>11.0</v>
      </c>
      <c r="AI42" s="13" t="s">
        <v>170</v>
      </c>
      <c r="AJ42" s="13" t="s">
        <v>141</v>
      </c>
      <c r="AK42" s="13">
        <v>11.0</v>
      </c>
      <c r="AL42" s="13">
        <v>13.0</v>
      </c>
      <c r="AM42" s="13" t="s">
        <v>376</v>
      </c>
      <c r="AN42" s="13">
        <v>6.0</v>
      </c>
      <c r="AO42" s="13">
        <v>50.0</v>
      </c>
      <c r="AP42" s="13" t="s">
        <v>78</v>
      </c>
      <c r="AQ42" s="13" t="s">
        <v>96</v>
      </c>
      <c r="AR42" s="13" t="s">
        <v>57</v>
      </c>
      <c r="AS42" s="13">
        <v>14.0</v>
      </c>
      <c r="AT42" s="13" t="s">
        <v>91</v>
      </c>
      <c r="AU42" s="13">
        <f>Sheet1!$Y42-Sheet1!$X42</f>
        <v>27</v>
      </c>
      <c r="AV42" s="13">
        <f>Sheet1!$AO42-Sheet1!$AN42</f>
        <v>44</v>
      </c>
      <c r="AW42" s="5"/>
      <c r="AX42" s="13">
        <v>41.0</v>
      </c>
      <c r="AY42" s="13" t="s">
        <v>538</v>
      </c>
      <c r="AZ42" s="13"/>
      <c r="BA42" s="13" t="s">
        <v>430</v>
      </c>
      <c r="BB42" s="13" t="s">
        <v>83</v>
      </c>
      <c r="BC42" s="13" t="s">
        <v>409</v>
      </c>
      <c r="BD42" s="13" t="s">
        <v>49</v>
      </c>
      <c r="BE42" s="13">
        <v>43.0</v>
      </c>
      <c r="BF42" s="13">
        <v>109.0</v>
      </c>
      <c r="BG42" s="13" t="s">
        <v>539</v>
      </c>
      <c r="BH42" s="13">
        <v>14.0</v>
      </c>
      <c r="BI42" s="13" t="s">
        <v>161</v>
      </c>
      <c r="BJ42" s="13" t="s">
        <v>330</v>
      </c>
      <c r="BK42" s="13">
        <v>5.0</v>
      </c>
      <c r="BL42" s="13">
        <v>8.0</v>
      </c>
      <c r="BM42" s="13" t="s">
        <v>62</v>
      </c>
      <c r="BN42" s="13">
        <v>13.0</v>
      </c>
      <c r="BO42" s="13">
        <v>59.0</v>
      </c>
      <c r="BP42" s="13" t="s">
        <v>71</v>
      </c>
      <c r="BQ42" s="13" t="s">
        <v>297</v>
      </c>
      <c r="BR42" s="13" t="s">
        <v>57</v>
      </c>
      <c r="BS42" s="13">
        <v>20.0</v>
      </c>
      <c r="BT42" s="13" t="s">
        <v>109</v>
      </c>
      <c r="BU42" s="13">
        <v>41.0</v>
      </c>
      <c r="BV42" s="13">
        <v>101.0</v>
      </c>
      <c r="BW42" s="13" t="s">
        <v>61</v>
      </c>
      <c r="BX42" s="13">
        <v>9.0</v>
      </c>
      <c r="BY42" s="13" t="s">
        <v>203</v>
      </c>
      <c r="BZ42" s="13" t="s">
        <v>502</v>
      </c>
      <c r="CA42" s="13">
        <v>18.0</v>
      </c>
      <c r="CB42" s="13">
        <v>24.0</v>
      </c>
      <c r="CC42" s="13" t="s">
        <v>167</v>
      </c>
      <c r="CD42" s="13">
        <v>12.0</v>
      </c>
      <c r="CE42" s="13">
        <v>58.0</v>
      </c>
      <c r="CF42" s="13" t="s">
        <v>66</v>
      </c>
      <c r="CG42" s="13" t="s">
        <v>64</v>
      </c>
      <c r="CH42" s="13" t="s">
        <v>44</v>
      </c>
      <c r="CI42" s="13">
        <v>22.0</v>
      </c>
      <c r="CJ42" s="13" t="s">
        <v>64</v>
      </c>
      <c r="CK42" s="13">
        <f>Sheet1!$BO42-Sheet1!$BN42</f>
        <v>46</v>
      </c>
      <c r="CL42" s="13">
        <f>Sheet1!$CE42-Sheet1!$CD42</f>
        <v>46</v>
      </c>
    </row>
    <row r="43" ht="14.25" customHeight="1">
      <c r="B43" s="1"/>
      <c r="D43" s="1"/>
      <c r="E43" s="25"/>
      <c r="F43" s="26" t="str">
        <f>CONCATENATE("BL",F1)</f>
        <v>BL1</v>
      </c>
      <c r="G43" s="5"/>
      <c r="H43" s="13" t="s">
        <v>290</v>
      </c>
      <c r="I43" s="13" t="s">
        <v>540</v>
      </c>
      <c r="J43" s="13" t="s">
        <v>46</v>
      </c>
      <c r="K43" s="13" t="s">
        <v>364</v>
      </c>
      <c r="L43" s="13" t="s">
        <v>48</v>
      </c>
      <c r="M43" s="13" t="s">
        <v>346</v>
      </c>
      <c r="N43" s="13" t="s">
        <v>184</v>
      </c>
      <c r="O43" s="13">
        <v>42.0</v>
      </c>
      <c r="P43" s="13">
        <v>91.0</v>
      </c>
      <c r="Q43" s="13" t="s">
        <v>280</v>
      </c>
      <c r="R43" s="13">
        <v>13.0</v>
      </c>
      <c r="S43" s="13" t="s">
        <v>203</v>
      </c>
      <c r="T43" s="13" t="s">
        <v>141</v>
      </c>
      <c r="U43" s="13">
        <v>17.0</v>
      </c>
      <c r="V43" s="13">
        <v>25.0</v>
      </c>
      <c r="W43" s="13" t="s">
        <v>466</v>
      </c>
      <c r="X43" s="13">
        <v>19.0</v>
      </c>
      <c r="Y43" s="13">
        <v>52.0</v>
      </c>
      <c r="Z43" s="13" t="s">
        <v>66</v>
      </c>
      <c r="AA43" s="13" t="s">
        <v>65</v>
      </c>
      <c r="AB43" s="13" t="s">
        <v>80</v>
      </c>
      <c r="AC43" s="13">
        <v>16.0</v>
      </c>
      <c r="AD43" s="13" t="s">
        <v>58</v>
      </c>
      <c r="AE43" s="13">
        <v>39.0</v>
      </c>
      <c r="AF43" s="13">
        <v>79.0</v>
      </c>
      <c r="AG43" s="13" t="s">
        <v>116</v>
      </c>
      <c r="AH43" s="13">
        <v>14.0</v>
      </c>
      <c r="AI43" s="13" t="s">
        <v>86</v>
      </c>
      <c r="AJ43" s="13" t="s">
        <v>541</v>
      </c>
      <c r="AK43" s="13">
        <v>20.0</v>
      </c>
      <c r="AL43" s="13">
        <v>27.0</v>
      </c>
      <c r="AM43" s="13" t="s">
        <v>442</v>
      </c>
      <c r="AN43" s="13">
        <v>8.0</v>
      </c>
      <c r="AO43" s="13">
        <v>38.0</v>
      </c>
      <c r="AP43" s="13" t="s">
        <v>66</v>
      </c>
      <c r="AQ43" s="13" t="s">
        <v>57</v>
      </c>
      <c r="AR43" s="13" t="s">
        <v>77</v>
      </c>
      <c r="AS43" s="13">
        <v>16.0</v>
      </c>
      <c r="AT43" s="13" t="s">
        <v>104</v>
      </c>
      <c r="AU43" s="13">
        <f>Sheet1!$Y43-Sheet1!$X43</f>
        <v>33</v>
      </c>
      <c r="AV43" s="13">
        <f>Sheet1!$AO43-Sheet1!$AN43</f>
        <v>30</v>
      </c>
      <c r="AW43" s="5"/>
      <c r="AX43" s="13">
        <v>42.0</v>
      </c>
      <c r="AY43" s="13" t="s">
        <v>542</v>
      </c>
      <c r="AZ43" s="13"/>
      <c r="BA43" s="13" t="s">
        <v>426</v>
      </c>
      <c r="BB43" s="13" t="s">
        <v>48</v>
      </c>
      <c r="BC43" s="13" t="s">
        <v>223</v>
      </c>
      <c r="BD43" s="13" t="s">
        <v>409</v>
      </c>
      <c r="BE43" s="13">
        <v>48.0</v>
      </c>
      <c r="BF43" s="13">
        <v>86.0</v>
      </c>
      <c r="BG43" s="13" t="s">
        <v>543</v>
      </c>
      <c r="BH43" s="13">
        <v>11.0</v>
      </c>
      <c r="BI43" s="13" t="s">
        <v>109</v>
      </c>
      <c r="BJ43" s="13" t="s">
        <v>544</v>
      </c>
      <c r="BK43" s="13">
        <v>22.0</v>
      </c>
      <c r="BL43" s="13">
        <v>29.0</v>
      </c>
      <c r="BM43" s="13" t="s">
        <v>407</v>
      </c>
      <c r="BN43" s="13">
        <v>9.0</v>
      </c>
      <c r="BO43" s="13">
        <v>52.0</v>
      </c>
      <c r="BP43" s="13" t="s">
        <v>95</v>
      </c>
      <c r="BQ43" s="13" t="s">
        <v>57</v>
      </c>
      <c r="BR43" s="13" t="s">
        <v>112</v>
      </c>
      <c r="BS43" s="13">
        <v>10.0</v>
      </c>
      <c r="BT43" s="13" t="s">
        <v>66</v>
      </c>
      <c r="BU43" s="13">
        <v>39.0</v>
      </c>
      <c r="BV43" s="13">
        <v>85.0</v>
      </c>
      <c r="BW43" s="13" t="s">
        <v>74</v>
      </c>
      <c r="BX43" s="13">
        <v>10.0</v>
      </c>
      <c r="BY43" s="13" t="s">
        <v>71</v>
      </c>
      <c r="BZ43" s="13" t="s">
        <v>394</v>
      </c>
      <c r="CA43" s="13">
        <v>17.0</v>
      </c>
      <c r="CB43" s="13">
        <v>27.0</v>
      </c>
      <c r="CC43" s="13" t="s">
        <v>545</v>
      </c>
      <c r="CD43" s="13">
        <v>4.0</v>
      </c>
      <c r="CE43" s="13">
        <v>33.0</v>
      </c>
      <c r="CF43" s="13" t="s">
        <v>71</v>
      </c>
      <c r="CG43" s="13" t="s">
        <v>77</v>
      </c>
      <c r="CH43" s="13" t="s">
        <v>80</v>
      </c>
      <c r="CI43" s="13">
        <v>8.0</v>
      </c>
      <c r="CJ43" s="13" t="s">
        <v>58</v>
      </c>
      <c r="CK43" s="13">
        <f>Sheet1!$BO43-Sheet1!$BN43</f>
        <v>43</v>
      </c>
      <c r="CL43" s="13">
        <f>Sheet1!$CE43-Sheet1!$CD43</f>
        <v>29</v>
      </c>
    </row>
    <row r="44" ht="14.25" customHeight="1">
      <c r="B44" s="1"/>
      <c r="D44" s="1"/>
      <c r="E44" s="25" t="s">
        <v>472</v>
      </c>
      <c r="F44" s="26" t="str">
        <f>CONCATENATE("CI",F1-9)</f>
        <v>CI-8</v>
      </c>
      <c r="G44" s="5"/>
      <c r="H44" s="13" t="s">
        <v>287</v>
      </c>
      <c r="I44" s="13" t="s">
        <v>546</v>
      </c>
      <c r="J44" s="13" t="s">
        <v>46</v>
      </c>
      <c r="K44" s="13" t="s">
        <v>380</v>
      </c>
      <c r="L44" s="13" t="s">
        <v>48</v>
      </c>
      <c r="M44" s="13" t="s">
        <v>184</v>
      </c>
      <c r="N44" s="13" t="s">
        <v>247</v>
      </c>
      <c r="O44" s="13">
        <v>41.0</v>
      </c>
      <c r="P44" s="13">
        <v>87.0</v>
      </c>
      <c r="Q44" s="13" t="s">
        <v>70</v>
      </c>
      <c r="R44" s="13">
        <v>21.0</v>
      </c>
      <c r="S44" s="13" t="s">
        <v>129</v>
      </c>
      <c r="T44" s="13" t="s">
        <v>180</v>
      </c>
      <c r="U44" s="13">
        <v>9.0</v>
      </c>
      <c r="V44" s="13">
        <v>10.0</v>
      </c>
      <c r="W44" s="13" t="s">
        <v>233</v>
      </c>
      <c r="X44" s="13">
        <v>9.0</v>
      </c>
      <c r="Y44" s="13">
        <v>47.0</v>
      </c>
      <c r="Z44" s="13" t="s">
        <v>63</v>
      </c>
      <c r="AA44" s="13" t="s">
        <v>65</v>
      </c>
      <c r="AB44" s="13" t="s">
        <v>56</v>
      </c>
      <c r="AC44" s="13">
        <v>14.0</v>
      </c>
      <c r="AD44" s="13" t="s">
        <v>297</v>
      </c>
      <c r="AE44" s="13">
        <v>38.0</v>
      </c>
      <c r="AF44" s="13">
        <v>92.0</v>
      </c>
      <c r="AG44" s="13" t="s">
        <v>189</v>
      </c>
      <c r="AH44" s="13">
        <v>14.0</v>
      </c>
      <c r="AI44" s="13" t="s">
        <v>203</v>
      </c>
      <c r="AJ44" s="13" t="s">
        <v>474</v>
      </c>
      <c r="AK44" s="13">
        <v>13.0</v>
      </c>
      <c r="AL44" s="13">
        <v>18.0</v>
      </c>
      <c r="AM44" s="13" t="s">
        <v>547</v>
      </c>
      <c r="AN44" s="13">
        <v>11.0</v>
      </c>
      <c r="AO44" s="13">
        <v>42.0</v>
      </c>
      <c r="AP44" s="13" t="s">
        <v>95</v>
      </c>
      <c r="AQ44" s="13" t="s">
        <v>64</v>
      </c>
      <c r="AR44" s="13" t="s">
        <v>77</v>
      </c>
      <c r="AS44" s="13">
        <v>12.0</v>
      </c>
      <c r="AT44" s="13" t="s">
        <v>164</v>
      </c>
      <c r="AU44" s="13">
        <f>Sheet1!$Y44-Sheet1!$X44</f>
        <v>38</v>
      </c>
      <c r="AV44" s="13">
        <f>Sheet1!$AO44-Sheet1!$AN44</f>
        <v>31</v>
      </c>
      <c r="AW44" s="5"/>
      <c r="AX44" s="13">
        <v>43.0</v>
      </c>
      <c r="AY44" s="13" t="s">
        <v>540</v>
      </c>
      <c r="AZ44" s="13" t="s">
        <v>46</v>
      </c>
      <c r="BA44" s="13" t="s">
        <v>98</v>
      </c>
      <c r="BB44" s="13" t="s">
        <v>48</v>
      </c>
      <c r="BC44" s="13" t="s">
        <v>199</v>
      </c>
      <c r="BD44" s="13" t="s">
        <v>145</v>
      </c>
      <c r="BE44" s="13">
        <v>38.0</v>
      </c>
      <c r="BF44" s="13">
        <v>82.0</v>
      </c>
      <c r="BG44" s="13" t="s">
        <v>405</v>
      </c>
      <c r="BH44" s="13">
        <v>11.0</v>
      </c>
      <c r="BI44" s="13" t="s">
        <v>55</v>
      </c>
      <c r="BJ44" s="13" t="s">
        <v>309</v>
      </c>
      <c r="BK44" s="13">
        <v>14.0</v>
      </c>
      <c r="BL44" s="13">
        <v>23.0</v>
      </c>
      <c r="BM44" s="13" t="s">
        <v>548</v>
      </c>
      <c r="BN44" s="13">
        <v>8.0</v>
      </c>
      <c r="BO44" s="13">
        <v>44.0</v>
      </c>
      <c r="BP44" s="13" t="s">
        <v>97</v>
      </c>
      <c r="BQ44" s="13" t="s">
        <v>124</v>
      </c>
      <c r="BR44" s="13" t="s">
        <v>89</v>
      </c>
      <c r="BS44" s="13">
        <v>19.0</v>
      </c>
      <c r="BT44" s="13" t="s">
        <v>120</v>
      </c>
      <c r="BU44" s="13">
        <v>38.0</v>
      </c>
      <c r="BV44" s="13">
        <v>88.0</v>
      </c>
      <c r="BW44" s="13" t="s">
        <v>217</v>
      </c>
      <c r="BX44" s="13">
        <v>11.0</v>
      </c>
      <c r="BY44" s="13" t="s">
        <v>95</v>
      </c>
      <c r="BZ44" s="13" t="s">
        <v>347</v>
      </c>
      <c r="CA44" s="13">
        <v>13.0</v>
      </c>
      <c r="CB44" s="13">
        <v>23.0</v>
      </c>
      <c r="CC44" s="13" t="s">
        <v>549</v>
      </c>
      <c r="CD44" s="13">
        <v>13.0</v>
      </c>
      <c r="CE44" s="13">
        <v>44.0</v>
      </c>
      <c r="CF44" s="13" t="s">
        <v>91</v>
      </c>
      <c r="CG44" s="13" t="s">
        <v>132</v>
      </c>
      <c r="CH44" s="13" t="s">
        <v>80</v>
      </c>
      <c r="CI44" s="13">
        <v>17.0</v>
      </c>
      <c r="CJ44" s="13" t="s">
        <v>97</v>
      </c>
      <c r="CK44" s="13">
        <f>Sheet1!$BO44-Sheet1!$BN44</f>
        <v>36</v>
      </c>
      <c r="CL44" s="13">
        <f>Sheet1!$CE44-Sheet1!$CD44</f>
        <v>31</v>
      </c>
    </row>
    <row r="45" ht="14.25" customHeight="1">
      <c r="B45" s="1"/>
      <c r="D45" s="1"/>
      <c r="E45" s="25"/>
      <c r="F45" s="26" t="str">
        <f>CONCATENATE("CI",F1)</f>
        <v>CI1</v>
      </c>
      <c r="G45" s="5"/>
      <c r="H45" s="13" t="s">
        <v>267</v>
      </c>
      <c r="I45" s="13" t="s">
        <v>550</v>
      </c>
      <c r="J45" s="13"/>
      <c r="K45" s="13" t="s">
        <v>307</v>
      </c>
      <c r="L45" s="13" t="s">
        <v>83</v>
      </c>
      <c r="M45" s="13" t="s">
        <v>50</v>
      </c>
      <c r="N45" s="13" t="s">
        <v>168</v>
      </c>
      <c r="O45" s="13">
        <v>43.0</v>
      </c>
      <c r="P45" s="13">
        <v>95.0</v>
      </c>
      <c r="Q45" s="13" t="s">
        <v>551</v>
      </c>
      <c r="R45" s="13">
        <v>10.0</v>
      </c>
      <c r="S45" s="13" t="s">
        <v>186</v>
      </c>
      <c r="T45" s="13" t="s">
        <v>72</v>
      </c>
      <c r="U45" s="13">
        <v>11.0</v>
      </c>
      <c r="V45" s="13">
        <v>17.0</v>
      </c>
      <c r="W45" s="13" t="s">
        <v>444</v>
      </c>
      <c r="X45" s="13">
        <v>9.0</v>
      </c>
      <c r="Y45" s="13">
        <v>44.0</v>
      </c>
      <c r="Z45" s="13" t="s">
        <v>78</v>
      </c>
      <c r="AA45" s="13" t="s">
        <v>132</v>
      </c>
      <c r="AB45" s="13" t="s">
        <v>65</v>
      </c>
      <c r="AC45" s="13">
        <v>14.0</v>
      </c>
      <c r="AD45" s="13" t="s">
        <v>56</v>
      </c>
      <c r="AE45" s="13">
        <v>47.0</v>
      </c>
      <c r="AF45" s="13">
        <v>99.0</v>
      </c>
      <c r="AG45" s="13" t="s">
        <v>552</v>
      </c>
      <c r="AH45" s="13">
        <v>11.0</v>
      </c>
      <c r="AI45" s="13" t="s">
        <v>204</v>
      </c>
      <c r="AJ45" s="13" t="s">
        <v>177</v>
      </c>
      <c r="AK45" s="13">
        <v>11.0</v>
      </c>
      <c r="AL45" s="13">
        <v>13.0</v>
      </c>
      <c r="AM45" s="13" t="s">
        <v>376</v>
      </c>
      <c r="AN45" s="13">
        <v>14.0</v>
      </c>
      <c r="AO45" s="13">
        <v>56.0</v>
      </c>
      <c r="AP45" s="13" t="s">
        <v>97</v>
      </c>
      <c r="AQ45" s="13" t="s">
        <v>124</v>
      </c>
      <c r="AR45" s="13" t="s">
        <v>56</v>
      </c>
      <c r="AS45" s="13">
        <v>17.0</v>
      </c>
      <c r="AT45" s="13" t="s">
        <v>56</v>
      </c>
      <c r="AU45" s="13">
        <f>Sheet1!$Y45-Sheet1!$X45</f>
        <v>35</v>
      </c>
      <c r="AV45" s="13">
        <f>Sheet1!$AO45-Sheet1!$AN45</f>
        <v>42</v>
      </c>
      <c r="AW45" s="5"/>
      <c r="AX45" s="13">
        <v>44.0</v>
      </c>
      <c r="AY45" s="13" t="s">
        <v>553</v>
      </c>
      <c r="AZ45" s="13" t="s">
        <v>46</v>
      </c>
      <c r="BA45" s="13" t="s">
        <v>554</v>
      </c>
      <c r="BB45" s="13" t="s">
        <v>48</v>
      </c>
      <c r="BC45" s="13" t="s">
        <v>158</v>
      </c>
      <c r="BD45" s="13" t="s">
        <v>461</v>
      </c>
      <c r="BE45" s="13">
        <v>39.0</v>
      </c>
      <c r="BF45" s="13">
        <v>86.0</v>
      </c>
      <c r="BG45" s="13" t="s">
        <v>551</v>
      </c>
      <c r="BH45" s="13">
        <v>7.0</v>
      </c>
      <c r="BI45" s="13" t="s">
        <v>95</v>
      </c>
      <c r="BJ45" s="13" t="s">
        <v>555</v>
      </c>
      <c r="BK45" s="13">
        <v>23.0</v>
      </c>
      <c r="BL45" s="13">
        <v>35.0</v>
      </c>
      <c r="BM45" s="13" t="s">
        <v>497</v>
      </c>
      <c r="BN45" s="13">
        <v>13.0</v>
      </c>
      <c r="BO45" s="13">
        <v>51.0</v>
      </c>
      <c r="BP45" s="13" t="s">
        <v>150</v>
      </c>
      <c r="BQ45" s="13" t="s">
        <v>90</v>
      </c>
      <c r="BR45" s="13" t="s">
        <v>77</v>
      </c>
      <c r="BS45" s="13">
        <v>13.0</v>
      </c>
      <c r="BT45" s="13" t="s">
        <v>95</v>
      </c>
      <c r="BU45" s="13">
        <v>36.0</v>
      </c>
      <c r="BV45" s="13">
        <v>83.0</v>
      </c>
      <c r="BW45" s="13" t="s">
        <v>241</v>
      </c>
      <c r="BX45" s="13">
        <v>8.0</v>
      </c>
      <c r="BY45" s="13" t="s">
        <v>55</v>
      </c>
      <c r="BZ45" s="13" t="s">
        <v>510</v>
      </c>
      <c r="CA45" s="13">
        <v>18.0</v>
      </c>
      <c r="CB45" s="13">
        <v>26.0</v>
      </c>
      <c r="CC45" s="13" t="s">
        <v>379</v>
      </c>
      <c r="CD45" s="13">
        <v>6.0</v>
      </c>
      <c r="CE45" s="13">
        <v>38.0</v>
      </c>
      <c r="CF45" s="13" t="s">
        <v>66</v>
      </c>
      <c r="CG45" s="13" t="s">
        <v>90</v>
      </c>
      <c r="CH45" s="13" t="s">
        <v>57</v>
      </c>
      <c r="CI45" s="13">
        <v>11.0</v>
      </c>
      <c r="CJ45" s="13" t="s">
        <v>109</v>
      </c>
      <c r="CK45" s="13">
        <f>Sheet1!$BO45-Sheet1!$BN45</f>
        <v>38</v>
      </c>
      <c r="CL45" s="13">
        <f>Sheet1!$CE45-Sheet1!$CD45</f>
        <v>32</v>
      </c>
    </row>
    <row r="46" ht="14.25" customHeight="1">
      <c r="B46" s="1"/>
      <c r="D46" s="1"/>
      <c r="E46" s="25" t="s">
        <v>483</v>
      </c>
      <c r="F46" s="26" t="str">
        <f>CONCATENATE("CD",F1-9)</f>
        <v>CD-8</v>
      </c>
      <c r="G46" s="5"/>
      <c r="H46" s="13" t="s">
        <v>152</v>
      </c>
      <c r="I46" s="13" t="s">
        <v>556</v>
      </c>
      <c r="J46" s="13"/>
      <c r="K46" s="13" t="s">
        <v>319</v>
      </c>
      <c r="L46" s="13" t="s">
        <v>83</v>
      </c>
      <c r="M46" s="13" t="s">
        <v>127</v>
      </c>
      <c r="N46" s="13" t="s">
        <v>194</v>
      </c>
      <c r="O46" s="13">
        <v>34.0</v>
      </c>
      <c r="P46" s="13">
        <v>83.0</v>
      </c>
      <c r="Q46" s="13" t="s">
        <v>489</v>
      </c>
      <c r="R46" s="13">
        <v>11.0</v>
      </c>
      <c r="S46" s="13" t="s">
        <v>86</v>
      </c>
      <c r="T46" s="13" t="s">
        <v>557</v>
      </c>
      <c r="U46" s="13">
        <v>15.0</v>
      </c>
      <c r="V46" s="13">
        <v>24.0</v>
      </c>
      <c r="W46" s="13" t="s">
        <v>62</v>
      </c>
      <c r="X46" s="13">
        <v>10.0</v>
      </c>
      <c r="Y46" s="13">
        <v>50.0</v>
      </c>
      <c r="Z46" s="13" t="s">
        <v>91</v>
      </c>
      <c r="AA46" s="13" t="s">
        <v>57</v>
      </c>
      <c r="AB46" s="13" t="s">
        <v>77</v>
      </c>
      <c r="AC46" s="13">
        <v>16.0</v>
      </c>
      <c r="AD46" s="13" t="s">
        <v>124</v>
      </c>
      <c r="AE46" s="13">
        <v>44.0</v>
      </c>
      <c r="AF46" s="13">
        <v>96.0</v>
      </c>
      <c r="AG46" s="13" t="s">
        <v>347</v>
      </c>
      <c r="AH46" s="13">
        <v>12.0</v>
      </c>
      <c r="AI46" s="13" t="s">
        <v>86</v>
      </c>
      <c r="AJ46" s="13" t="s">
        <v>404</v>
      </c>
      <c r="AK46" s="13">
        <v>11.0</v>
      </c>
      <c r="AL46" s="13">
        <v>14.0</v>
      </c>
      <c r="AM46" s="13" t="s">
        <v>94</v>
      </c>
      <c r="AN46" s="13">
        <v>10.0</v>
      </c>
      <c r="AO46" s="13">
        <v>52.0</v>
      </c>
      <c r="AP46" s="13" t="s">
        <v>66</v>
      </c>
      <c r="AQ46" s="13" t="s">
        <v>56</v>
      </c>
      <c r="AR46" s="13" t="s">
        <v>77</v>
      </c>
      <c r="AS46" s="13">
        <v>12.0</v>
      </c>
      <c r="AT46" s="13" t="s">
        <v>97</v>
      </c>
      <c r="AU46" s="13">
        <f>Sheet1!$Y46-Sheet1!$X46</f>
        <v>40</v>
      </c>
      <c r="AV46" s="13">
        <f>Sheet1!$AO46-Sheet1!$AN46</f>
        <v>42</v>
      </c>
      <c r="AW46" s="5"/>
      <c r="AX46" s="13">
        <v>45.0</v>
      </c>
      <c r="AY46" s="13" t="s">
        <v>558</v>
      </c>
      <c r="AZ46" s="13" t="s">
        <v>46</v>
      </c>
      <c r="BA46" s="13" t="s">
        <v>254</v>
      </c>
      <c r="BB46" s="13" t="s">
        <v>48</v>
      </c>
      <c r="BC46" s="13" t="s">
        <v>49</v>
      </c>
      <c r="BD46" s="13" t="s">
        <v>199</v>
      </c>
      <c r="BE46" s="13">
        <v>39.0</v>
      </c>
      <c r="BF46" s="13">
        <v>80.0</v>
      </c>
      <c r="BG46" s="13" t="s">
        <v>393</v>
      </c>
      <c r="BH46" s="13">
        <v>17.0</v>
      </c>
      <c r="BI46" s="13" t="s">
        <v>152</v>
      </c>
      <c r="BJ46" s="13" t="s">
        <v>153</v>
      </c>
      <c r="BK46" s="13">
        <v>14.0</v>
      </c>
      <c r="BL46" s="13">
        <v>21.0</v>
      </c>
      <c r="BM46" s="13" t="s">
        <v>209</v>
      </c>
      <c r="BN46" s="13">
        <v>7.0</v>
      </c>
      <c r="BO46" s="13">
        <v>39.0</v>
      </c>
      <c r="BP46" s="13" t="s">
        <v>95</v>
      </c>
      <c r="BQ46" s="13" t="s">
        <v>132</v>
      </c>
      <c r="BR46" s="13" t="s">
        <v>89</v>
      </c>
      <c r="BS46" s="13">
        <v>20.0</v>
      </c>
      <c r="BT46" s="13" t="s">
        <v>78</v>
      </c>
      <c r="BU46" s="13">
        <v>34.0</v>
      </c>
      <c r="BV46" s="13">
        <v>78.0</v>
      </c>
      <c r="BW46" s="13" t="s">
        <v>386</v>
      </c>
      <c r="BX46" s="13">
        <v>9.0</v>
      </c>
      <c r="BY46" s="13" t="s">
        <v>78</v>
      </c>
      <c r="BZ46" s="13" t="s">
        <v>232</v>
      </c>
      <c r="CA46" s="13">
        <v>24.0</v>
      </c>
      <c r="CB46" s="13">
        <v>33.0</v>
      </c>
      <c r="CC46" s="13" t="s">
        <v>103</v>
      </c>
      <c r="CD46" s="13">
        <v>7.0</v>
      </c>
      <c r="CE46" s="13">
        <v>42.0</v>
      </c>
      <c r="CF46" s="13" t="s">
        <v>66</v>
      </c>
      <c r="CG46" s="13" t="s">
        <v>56</v>
      </c>
      <c r="CH46" s="13" t="s">
        <v>182</v>
      </c>
      <c r="CI46" s="13">
        <v>20.0</v>
      </c>
      <c r="CJ46" s="13" t="s">
        <v>97</v>
      </c>
      <c r="CK46" s="13">
        <f>Sheet1!$BO46-Sheet1!$BN46</f>
        <v>32</v>
      </c>
      <c r="CL46" s="13">
        <f>Sheet1!$CE46-Sheet1!$CD46</f>
        <v>35</v>
      </c>
    </row>
    <row r="47" ht="14.25" customHeight="1">
      <c r="B47" s="1"/>
      <c r="D47" s="1"/>
      <c r="E47" s="25"/>
      <c r="F47" s="26" t="str">
        <f>CONCATENATE("CD",F1-9)</f>
        <v>CD-8</v>
      </c>
      <c r="G47" s="5"/>
      <c r="H47" s="13" t="s">
        <v>196</v>
      </c>
      <c r="I47" s="13" t="s">
        <v>559</v>
      </c>
      <c r="J47" s="13"/>
      <c r="K47" s="13" t="s">
        <v>486</v>
      </c>
      <c r="L47" s="13" t="s">
        <v>83</v>
      </c>
      <c r="M47" s="13" t="s">
        <v>300</v>
      </c>
      <c r="N47" s="13" t="s">
        <v>183</v>
      </c>
      <c r="O47" s="13">
        <v>38.0</v>
      </c>
      <c r="P47" s="13">
        <v>81.0</v>
      </c>
      <c r="Q47" s="13" t="s">
        <v>329</v>
      </c>
      <c r="R47" s="13">
        <v>9.0</v>
      </c>
      <c r="S47" s="13" t="s">
        <v>78</v>
      </c>
      <c r="T47" s="13" t="s">
        <v>232</v>
      </c>
      <c r="U47" s="13">
        <v>21.0</v>
      </c>
      <c r="V47" s="13">
        <v>33.0</v>
      </c>
      <c r="W47" s="13" t="s">
        <v>528</v>
      </c>
      <c r="X47" s="13">
        <v>10.0</v>
      </c>
      <c r="Y47" s="13">
        <v>47.0</v>
      </c>
      <c r="Z47" s="13" t="s">
        <v>164</v>
      </c>
      <c r="AA47" s="13" t="s">
        <v>65</v>
      </c>
      <c r="AB47" s="13" t="s">
        <v>77</v>
      </c>
      <c r="AC47" s="13">
        <v>16.0</v>
      </c>
      <c r="AD47" s="13" t="s">
        <v>297</v>
      </c>
      <c r="AE47" s="13">
        <v>51.0</v>
      </c>
      <c r="AF47" s="13">
        <v>96.0</v>
      </c>
      <c r="AG47" s="13" t="s">
        <v>560</v>
      </c>
      <c r="AH47" s="13">
        <v>16.0</v>
      </c>
      <c r="AI47" s="13" t="s">
        <v>267</v>
      </c>
      <c r="AJ47" s="13" t="s">
        <v>251</v>
      </c>
      <c r="AK47" s="13">
        <v>9.0</v>
      </c>
      <c r="AL47" s="13">
        <v>13.0</v>
      </c>
      <c r="AM47" s="13" t="s">
        <v>379</v>
      </c>
      <c r="AN47" s="13">
        <v>8.0</v>
      </c>
      <c r="AO47" s="13">
        <v>43.0</v>
      </c>
      <c r="AP47" s="13" t="s">
        <v>204</v>
      </c>
      <c r="AQ47" s="13" t="s">
        <v>64</v>
      </c>
      <c r="AR47" s="13" t="s">
        <v>112</v>
      </c>
      <c r="AS47" s="13">
        <v>8.0</v>
      </c>
      <c r="AT47" s="13" t="s">
        <v>58</v>
      </c>
      <c r="AU47" s="13">
        <f>Sheet1!$Y47-Sheet1!$X47</f>
        <v>37</v>
      </c>
      <c r="AV47" s="13">
        <f>Sheet1!$AO47-Sheet1!$AN47</f>
        <v>35</v>
      </c>
      <c r="AW47" s="5"/>
      <c r="AX47" s="13">
        <v>46.0</v>
      </c>
      <c r="AY47" s="13" t="s">
        <v>556</v>
      </c>
      <c r="AZ47" s="13" t="s">
        <v>46</v>
      </c>
      <c r="BA47" s="13" t="s">
        <v>299</v>
      </c>
      <c r="BB47" s="13" t="s">
        <v>83</v>
      </c>
      <c r="BC47" s="13" t="s">
        <v>184</v>
      </c>
      <c r="BD47" s="13" t="s">
        <v>231</v>
      </c>
      <c r="BE47" s="13">
        <v>39.0</v>
      </c>
      <c r="BF47" s="13">
        <v>77.0</v>
      </c>
      <c r="BG47" s="13" t="s">
        <v>227</v>
      </c>
      <c r="BH47" s="13">
        <v>10.0</v>
      </c>
      <c r="BI47" s="13" t="s">
        <v>78</v>
      </c>
      <c r="BJ47" s="13" t="s">
        <v>225</v>
      </c>
      <c r="BK47" s="13">
        <v>24.0</v>
      </c>
      <c r="BL47" s="13">
        <v>33.0</v>
      </c>
      <c r="BM47" s="13" t="s">
        <v>103</v>
      </c>
      <c r="BN47" s="13">
        <v>8.0</v>
      </c>
      <c r="BO47" s="13">
        <v>38.0</v>
      </c>
      <c r="BP47" s="13" t="s">
        <v>164</v>
      </c>
      <c r="BQ47" s="13" t="s">
        <v>90</v>
      </c>
      <c r="BR47" s="13" t="s">
        <v>80</v>
      </c>
      <c r="BS47" s="13">
        <v>16.0</v>
      </c>
      <c r="BT47" s="13" t="s">
        <v>63</v>
      </c>
      <c r="BU47" s="13">
        <v>45.0</v>
      </c>
      <c r="BV47" s="13">
        <v>85.0</v>
      </c>
      <c r="BW47" s="13" t="s">
        <v>561</v>
      </c>
      <c r="BX47" s="13">
        <v>11.0</v>
      </c>
      <c r="BY47" s="13" t="s">
        <v>78</v>
      </c>
      <c r="BZ47" s="13" t="s">
        <v>498</v>
      </c>
      <c r="CA47" s="13">
        <v>21.0</v>
      </c>
      <c r="CB47" s="13">
        <v>27.0</v>
      </c>
      <c r="CC47" s="13" t="s">
        <v>268</v>
      </c>
      <c r="CD47" s="13">
        <v>9.0</v>
      </c>
      <c r="CE47" s="13">
        <v>38.0</v>
      </c>
      <c r="CF47" s="13" t="s">
        <v>78</v>
      </c>
      <c r="CG47" s="13" t="s">
        <v>89</v>
      </c>
      <c r="CH47" s="13" t="s">
        <v>112</v>
      </c>
      <c r="CI47" s="13">
        <v>12.0</v>
      </c>
      <c r="CJ47" s="13" t="s">
        <v>55</v>
      </c>
      <c r="CK47" s="13">
        <f>Sheet1!$BO47-Sheet1!$BN47</f>
        <v>30</v>
      </c>
      <c r="CL47" s="13">
        <f>Sheet1!$CE47-Sheet1!$CD47</f>
        <v>29</v>
      </c>
    </row>
    <row r="48" ht="14.25" customHeight="1">
      <c r="B48" s="1"/>
      <c r="D48" s="1"/>
      <c r="E48" s="25" t="s">
        <v>499</v>
      </c>
      <c r="F48" s="26" t="str">
        <f>CONCATENATE("CB",F1-9)</f>
        <v>CB-8</v>
      </c>
      <c r="G48" s="5"/>
      <c r="H48" s="13" t="s">
        <v>443</v>
      </c>
      <c r="I48" s="13" t="s">
        <v>562</v>
      </c>
      <c r="J48" s="13"/>
      <c r="K48" s="13" t="s">
        <v>144</v>
      </c>
      <c r="L48" s="13" t="s">
        <v>48</v>
      </c>
      <c r="M48" s="13" t="s">
        <v>69</v>
      </c>
      <c r="N48" s="13" t="s">
        <v>247</v>
      </c>
      <c r="O48" s="13">
        <v>39.0</v>
      </c>
      <c r="P48" s="13">
        <v>86.0</v>
      </c>
      <c r="Q48" s="13" t="s">
        <v>551</v>
      </c>
      <c r="R48" s="13">
        <v>14.0</v>
      </c>
      <c r="S48" s="13" t="s">
        <v>170</v>
      </c>
      <c r="T48" s="13" t="s">
        <v>349</v>
      </c>
      <c r="U48" s="13">
        <v>21.0</v>
      </c>
      <c r="V48" s="13">
        <v>28.0</v>
      </c>
      <c r="W48" s="13" t="s">
        <v>167</v>
      </c>
      <c r="X48" s="13">
        <v>19.0</v>
      </c>
      <c r="Y48" s="13">
        <v>64.0</v>
      </c>
      <c r="Z48" s="13" t="s">
        <v>97</v>
      </c>
      <c r="AA48" s="13" t="s">
        <v>80</v>
      </c>
      <c r="AB48" s="13" t="s">
        <v>96</v>
      </c>
      <c r="AC48" s="13">
        <v>18.0</v>
      </c>
      <c r="AD48" s="13" t="s">
        <v>91</v>
      </c>
      <c r="AE48" s="13">
        <v>35.0</v>
      </c>
      <c r="AF48" s="13">
        <v>90.0</v>
      </c>
      <c r="AG48" s="13" t="s">
        <v>563</v>
      </c>
      <c r="AH48" s="13">
        <v>16.0</v>
      </c>
      <c r="AI48" s="13" t="s">
        <v>196</v>
      </c>
      <c r="AJ48" s="13" t="s">
        <v>348</v>
      </c>
      <c r="AK48" s="13">
        <v>17.0</v>
      </c>
      <c r="AL48" s="13">
        <v>20.0</v>
      </c>
      <c r="AM48" s="13" t="s">
        <v>564</v>
      </c>
      <c r="AN48" s="13">
        <v>7.0</v>
      </c>
      <c r="AO48" s="13">
        <v>35.0</v>
      </c>
      <c r="AP48" s="13" t="s">
        <v>58</v>
      </c>
      <c r="AQ48" s="13" t="s">
        <v>132</v>
      </c>
      <c r="AR48" s="13" t="s">
        <v>57</v>
      </c>
      <c r="AS48" s="13">
        <v>7.0</v>
      </c>
      <c r="AT48" s="13" t="s">
        <v>55</v>
      </c>
      <c r="AU48" s="13">
        <f>Sheet1!$Y48-Sheet1!$X48</f>
        <v>45</v>
      </c>
      <c r="AV48" s="13">
        <f>Sheet1!$AO48-Sheet1!$AN48</f>
        <v>28</v>
      </c>
      <c r="AW48" s="5"/>
      <c r="AX48" s="13">
        <v>47.0</v>
      </c>
      <c r="AY48" s="13" t="s">
        <v>565</v>
      </c>
      <c r="AZ48" s="13" t="s">
        <v>46</v>
      </c>
      <c r="BA48" s="13" t="s">
        <v>246</v>
      </c>
      <c r="BB48" s="13" t="s">
        <v>83</v>
      </c>
      <c r="BC48" s="13" t="s">
        <v>422</v>
      </c>
      <c r="BD48" s="13" t="s">
        <v>308</v>
      </c>
      <c r="BE48" s="13">
        <v>35.0</v>
      </c>
      <c r="BF48" s="13">
        <v>82.0</v>
      </c>
      <c r="BG48" s="13" t="s">
        <v>382</v>
      </c>
      <c r="BH48" s="13">
        <v>11.0</v>
      </c>
      <c r="BI48" s="13" t="s">
        <v>186</v>
      </c>
      <c r="BJ48" s="13" t="s">
        <v>250</v>
      </c>
      <c r="BK48" s="13">
        <v>14.0</v>
      </c>
      <c r="BL48" s="13">
        <v>15.0</v>
      </c>
      <c r="BM48" s="13" t="s">
        <v>566</v>
      </c>
      <c r="BN48" s="13">
        <v>5.0</v>
      </c>
      <c r="BO48" s="13">
        <v>34.0</v>
      </c>
      <c r="BP48" s="13" t="s">
        <v>120</v>
      </c>
      <c r="BQ48" s="13" t="s">
        <v>297</v>
      </c>
      <c r="BR48" s="13" t="s">
        <v>96</v>
      </c>
      <c r="BS48" s="13">
        <v>11.0</v>
      </c>
      <c r="BT48" s="13" t="s">
        <v>120</v>
      </c>
      <c r="BU48" s="13">
        <v>39.0</v>
      </c>
      <c r="BV48" s="13">
        <v>81.0</v>
      </c>
      <c r="BW48" s="13" t="s">
        <v>75</v>
      </c>
      <c r="BX48" s="13">
        <v>12.0</v>
      </c>
      <c r="BY48" s="13" t="s">
        <v>101</v>
      </c>
      <c r="BZ48" s="13" t="s">
        <v>567</v>
      </c>
      <c r="CA48" s="13">
        <v>14.0</v>
      </c>
      <c r="CB48" s="13">
        <v>17.0</v>
      </c>
      <c r="CC48" s="13" t="s">
        <v>449</v>
      </c>
      <c r="CD48" s="13">
        <v>9.0</v>
      </c>
      <c r="CE48" s="13">
        <v>51.0</v>
      </c>
      <c r="CF48" s="13" t="s">
        <v>78</v>
      </c>
      <c r="CG48" s="13" t="s">
        <v>89</v>
      </c>
      <c r="CH48" s="13" t="s">
        <v>96</v>
      </c>
      <c r="CI48" s="13">
        <v>20.0</v>
      </c>
      <c r="CJ48" s="13" t="s">
        <v>91</v>
      </c>
      <c r="CK48" s="13">
        <f>Sheet1!$BO48-Sheet1!$BN48</f>
        <v>29</v>
      </c>
      <c r="CL48" s="13">
        <f>Sheet1!$CE48-Sheet1!$CD48</f>
        <v>42</v>
      </c>
    </row>
    <row r="49" ht="14.25" customHeight="1">
      <c r="B49" s="1"/>
      <c r="D49" s="1"/>
      <c r="E49" s="25"/>
      <c r="F49" s="26" t="str">
        <f>CONCATENATE("CB",F1)</f>
        <v>CB1</v>
      </c>
      <c r="G49" s="5"/>
      <c r="H49" s="13" t="s">
        <v>139</v>
      </c>
      <c r="I49" s="13" t="s">
        <v>568</v>
      </c>
      <c r="J49" s="13" t="s">
        <v>46</v>
      </c>
      <c r="K49" s="13" t="s">
        <v>338</v>
      </c>
      <c r="L49" s="13" t="s">
        <v>83</v>
      </c>
      <c r="M49" s="13" t="s">
        <v>247</v>
      </c>
      <c r="N49" s="13" t="s">
        <v>569</v>
      </c>
      <c r="O49" s="13">
        <v>35.0</v>
      </c>
      <c r="P49" s="13">
        <v>89.0</v>
      </c>
      <c r="Q49" s="13" t="s">
        <v>570</v>
      </c>
      <c r="R49" s="13">
        <v>15.0</v>
      </c>
      <c r="S49" s="13" t="s">
        <v>86</v>
      </c>
      <c r="T49" s="13" t="s">
        <v>87</v>
      </c>
      <c r="U49" s="13">
        <v>18.0</v>
      </c>
      <c r="V49" s="13">
        <v>23.0</v>
      </c>
      <c r="W49" s="13" t="s">
        <v>198</v>
      </c>
      <c r="X49" s="13">
        <v>11.0</v>
      </c>
      <c r="Y49" s="13">
        <v>38.0</v>
      </c>
      <c r="Z49" s="13" t="s">
        <v>97</v>
      </c>
      <c r="AA49" s="13" t="s">
        <v>96</v>
      </c>
      <c r="AB49" s="13" t="s">
        <v>112</v>
      </c>
      <c r="AC49" s="13">
        <v>16.0</v>
      </c>
      <c r="AD49" s="13" t="s">
        <v>164</v>
      </c>
      <c r="AE49" s="13">
        <v>54.0</v>
      </c>
      <c r="AF49" s="13">
        <v>90.0</v>
      </c>
      <c r="AG49" s="13" t="s">
        <v>211</v>
      </c>
      <c r="AH49" s="13">
        <v>15.0</v>
      </c>
      <c r="AI49" s="13" t="s">
        <v>170</v>
      </c>
      <c r="AJ49" s="13" t="s">
        <v>51</v>
      </c>
      <c r="AK49" s="13">
        <v>17.0</v>
      </c>
      <c r="AL49" s="13">
        <v>21.0</v>
      </c>
      <c r="AM49" s="13" t="s">
        <v>571</v>
      </c>
      <c r="AN49" s="13">
        <v>6.0</v>
      </c>
      <c r="AO49" s="13">
        <v>41.0</v>
      </c>
      <c r="AP49" s="13" t="s">
        <v>52</v>
      </c>
      <c r="AQ49" s="13" t="s">
        <v>124</v>
      </c>
      <c r="AR49" s="13" t="s">
        <v>65</v>
      </c>
      <c r="AS49" s="13">
        <v>10.0</v>
      </c>
      <c r="AT49" s="13" t="s">
        <v>104</v>
      </c>
      <c r="AU49" s="13">
        <f>Sheet1!$Y49-Sheet1!$X49</f>
        <v>27</v>
      </c>
      <c r="AV49" s="13">
        <f>Sheet1!$AO49-Sheet1!$AN49</f>
        <v>35</v>
      </c>
      <c r="AW49" s="5"/>
      <c r="AX49" s="13">
        <v>48.0</v>
      </c>
      <c r="AY49" s="13" t="s">
        <v>572</v>
      </c>
      <c r="AZ49" s="13" t="s">
        <v>46</v>
      </c>
      <c r="BA49" s="13" t="s">
        <v>126</v>
      </c>
      <c r="BB49" s="13" t="s">
        <v>48</v>
      </c>
      <c r="BC49" s="13" t="s">
        <v>346</v>
      </c>
      <c r="BD49" s="13" t="s">
        <v>127</v>
      </c>
      <c r="BE49" s="13">
        <v>40.0</v>
      </c>
      <c r="BF49" s="13">
        <v>93.0</v>
      </c>
      <c r="BG49" s="13" t="s">
        <v>256</v>
      </c>
      <c r="BH49" s="13">
        <v>15.0</v>
      </c>
      <c r="BI49" s="13" t="s">
        <v>129</v>
      </c>
      <c r="BJ49" s="13" t="s">
        <v>235</v>
      </c>
      <c r="BK49" s="13">
        <v>19.0</v>
      </c>
      <c r="BL49" s="13">
        <v>25.0</v>
      </c>
      <c r="BM49" s="13" t="s">
        <v>573</v>
      </c>
      <c r="BN49" s="13">
        <v>12.0</v>
      </c>
      <c r="BO49" s="13">
        <v>55.0</v>
      </c>
      <c r="BP49" s="13" t="s">
        <v>63</v>
      </c>
      <c r="BQ49" s="13" t="s">
        <v>64</v>
      </c>
      <c r="BR49" s="13" t="s">
        <v>65</v>
      </c>
      <c r="BS49" s="13">
        <v>9.0</v>
      </c>
      <c r="BT49" s="13" t="s">
        <v>97</v>
      </c>
      <c r="BU49" s="13">
        <v>34.0</v>
      </c>
      <c r="BV49" s="13">
        <v>80.0</v>
      </c>
      <c r="BW49" s="13" t="s">
        <v>574</v>
      </c>
      <c r="BX49" s="13">
        <v>10.0</v>
      </c>
      <c r="BY49" s="13" t="s">
        <v>186</v>
      </c>
      <c r="BZ49" s="13" t="s">
        <v>72</v>
      </c>
      <c r="CA49" s="13">
        <v>16.0</v>
      </c>
      <c r="CB49" s="13">
        <v>21.0</v>
      </c>
      <c r="CC49" s="13" t="s">
        <v>331</v>
      </c>
      <c r="CD49" s="13">
        <v>4.0</v>
      </c>
      <c r="CE49" s="13">
        <v>40.0</v>
      </c>
      <c r="CF49" s="13" t="s">
        <v>78</v>
      </c>
      <c r="CG49" s="13" t="s">
        <v>90</v>
      </c>
      <c r="CH49" s="13" t="s">
        <v>112</v>
      </c>
      <c r="CI49" s="13">
        <v>18.0</v>
      </c>
      <c r="CJ49" s="13" t="s">
        <v>95</v>
      </c>
      <c r="CK49" s="13">
        <f>Sheet1!$BO49-Sheet1!$BN49</f>
        <v>43</v>
      </c>
      <c r="CL49" s="13">
        <f>Sheet1!$CE49-Sheet1!$CD49</f>
        <v>36</v>
      </c>
    </row>
    <row r="50" ht="14.25" customHeight="1">
      <c r="B50" s="1"/>
      <c r="D50" s="1"/>
      <c r="E50" s="11" t="s">
        <v>575</v>
      </c>
      <c r="F50" s="12" t="str">
        <f>CONCATENATE("AV",E1-9)</f>
        <v>AV-8</v>
      </c>
      <c r="G50" s="5"/>
      <c r="H50" s="13" t="s">
        <v>576</v>
      </c>
      <c r="I50" s="13" t="s">
        <v>577</v>
      </c>
      <c r="J50" s="13" t="s">
        <v>46</v>
      </c>
      <c r="K50" s="13" t="s">
        <v>326</v>
      </c>
      <c r="L50" s="13" t="s">
        <v>83</v>
      </c>
      <c r="M50" s="13" t="s">
        <v>460</v>
      </c>
      <c r="N50" s="13" t="s">
        <v>578</v>
      </c>
      <c r="O50" s="13">
        <v>30.0</v>
      </c>
      <c r="P50" s="13">
        <v>85.0</v>
      </c>
      <c r="Q50" s="13" t="s">
        <v>294</v>
      </c>
      <c r="R50" s="13">
        <v>8.0</v>
      </c>
      <c r="S50" s="13" t="s">
        <v>117</v>
      </c>
      <c r="T50" s="13" t="s">
        <v>579</v>
      </c>
      <c r="U50" s="13">
        <v>17.0</v>
      </c>
      <c r="V50" s="13">
        <v>24.0</v>
      </c>
      <c r="W50" s="13" t="s">
        <v>188</v>
      </c>
      <c r="X50" s="13">
        <v>12.0</v>
      </c>
      <c r="Y50" s="13">
        <v>46.0</v>
      </c>
      <c r="Z50" s="13" t="s">
        <v>164</v>
      </c>
      <c r="AA50" s="13" t="s">
        <v>77</v>
      </c>
      <c r="AB50" s="13" t="s">
        <v>96</v>
      </c>
      <c r="AC50" s="13">
        <v>22.0</v>
      </c>
      <c r="AD50" s="13" t="s">
        <v>58</v>
      </c>
      <c r="AE50" s="13">
        <v>51.0</v>
      </c>
      <c r="AF50" s="13">
        <v>104.0</v>
      </c>
      <c r="AG50" s="13" t="s">
        <v>277</v>
      </c>
      <c r="AH50" s="13">
        <v>20.0</v>
      </c>
      <c r="AI50" s="13" t="s">
        <v>196</v>
      </c>
      <c r="AJ50" s="13" t="s">
        <v>441</v>
      </c>
      <c r="AK50" s="13">
        <v>11.0</v>
      </c>
      <c r="AL50" s="13">
        <v>14.0</v>
      </c>
      <c r="AM50" s="13" t="s">
        <v>94</v>
      </c>
      <c r="AN50" s="13">
        <v>15.0</v>
      </c>
      <c r="AO50" s="13">
        <v>56.0</v>
      </c>
      <c r="AP50" s="13" t="s">
        <v>55</v>
      </c>
      <c r="AQ50" s="13" t="s">
        <v>132</v>
      </c>
      <c r="AR50" s="13" t="s">
        <v>112</v>
      </c>
      <c r="AS50" s="13">
        <v>9.0</v>
      </c>
      <c r="AT50" s="13" t="s">
        <v>120</v>
      </c>
      <c r="AU50" s="13">
        <f>Sheet1!$Y50-Sheet1!$X50</f>
        <v>34</v>
      </c>
      <c r="AV50" s="13">
        <f>Sheet1!$AO50-Sheet1!$AN50</f>
        <v>41</v>
      </c>
      <c r="AW50" s="5"/>
      <c r="AX50" s="13">
        <v>49.0</v>
      </c>
      <c r="AY50" s="13" t="s">
        <v>577</v>
      </c>
      <c r="AZ50" s="13"/>
      <c r="BA50" s="13" t="s">
        <v>380</v>
      </c>
      <c r="BB50" s="13" t="s">
        <v>48</v>
      </c>
      <c r="BC50" s="13" t="s">
        <v>231</v>
      </c>
      <c r="BD50" s="13" t="s">
        <v>69</v>
      </c>
      <c r="BE50" s="13">
        <v>41.0</v>
      </c>
      <c r="BF50" s="13">
        <v>81.0</v>
      </c>
      <c r="BG50" s="13" t="s">
        <v>227</v>
      </c>
      <c r="BH50" s="13">
        <v>12.0</v>
      </c>
      <c r="BI50" s="13" t="s">
        <v>71</v>
      </c>
      <c r="BJ50" s="13" t="s">
        <v>332</v>
      </c>
      <c r="BK50" s="13">
        <v>28.0</v>
      </c>
      <c r="BL50" s="13">
        <v>37.0</v>
      </c>
      <c r="BM50" s="13" t="s">
        <v>580</v>
      </c>
      <c r="BN50" s="13">
        <v>8.0</v>
      </c>
      <c r="BO50" s="13">
        <v>42.0</v>
      </c>
      <c r="BP50" s="13" t="s">
        <v>78</v>
      </c>
      <c r="BQ50" s="13" t="s">
        <v>57</v>
      </c>
      <c r="BR50" s="13" t="s">
        <v>57</v>
      </c>
      <c r="BS50" s="13">
        <v>12.0</v>
      </c>
      <c r="BT50" s="13" t="s">
        <v>95</v>
      </c>
      <c r="BU50" s="13">
        <v>35.0</v>
      </c>
      <c r="BV50" s="13">
        <v>78.0</v>
      </c>
      <c r="BW50" s="13" t="s">
        <v>452</v>
      </c>
      <c r="BX50" s="13">
        <v>12.0</v>
      </c>
      <c r="BY50" s="13" t="s">
        <v>52</v>
      </c>
      <c r="BZ50" s="13" t="s">
        <v>141</v>
      </c>
      <c r="CA50" s="13">
        <v>31.0</v>
      </c>
      <c r="CB50" s="13">
        <v>36.0</v>
      </c>
      <c r="CC50" s="13" t="s">
        <v>581</v>
      </c>
      <c r="CD50" s="13">
        <v>6.0</v>
      </c>
      <c r="CE50" s="13">
        <v>36.0</v>
      </c>
      <c r="CF50" s="13" t="s">
        <v>164</v>
      </c>
      <c r="CG50" s="13" t="s">
        <v>57</v>
      </c>
      <c r="CH50" s="13" t="s">
        <v>90</v>
      </c>
      <c r="CI50" s="13">
        <v>9.0</v>
      </c>
      <c r="CJ50" s="13" t="s">
        <v>95</v>
      </c>
      <c r="CK50" s="13">
        <f>Sheet1!$BO50-Sheet1!$BN50</f>
        <v>34</v>
      </c>
      <c r="CL50" s="13">
        <f>Sheet1!$CE50-Sheet1!$CD50</f>
        <v>30</v>
      </c>
    </row>
    <row r="51" ht="14.25" customHeight="1">
      <c r="B51" s="1"/>
      <c r="D51" s="1"/>
      <c r="E51" s="11"/>
      <c r="F51" s="12" t="str">
        <f>CONCATENATE("AV",E1)</f>
        <v>AV1</v>
      </c>
      <c r="G51" s="5"/>
      <c r="H51" s="13" t="s">
        <v>582</v>
      </c>
      <c r="I51" s="13" t="s">
        <v>583</v>
      </c>
      <c r="J51" s="13"/>
      <c r="K51" s="13" t="s">
        <v>345</v>
      </c>
      <c r="L51" s="13" t="s">
        <v>83</v>
      </c>
      <c r="M51" s="13" t="s">
        <v>158</v>
      </c>
      <c r="N51" s="13" t="s">
        <v>584</v>
      </c>
      <c r="O51" s="13">
        <v>41.0</v>
      </c>
      <c r="P51" s="13">
        <v>97.0</v>
      </c>
      <c r="Q51" s="13" t="s">
        <v>498</v>
      </c>
      <c r="R51" s="13">
        <v>5.0</v>
      </c>
      <c r="S51" s="13" t="s">
        <v>63</v>
      </c>
      <c r="T51" s="13" t="s">
        <v>585</v>
      </c>
      <c r="U51" s="13">
        <v>21.0</v>
      </c>
      <c r="V51" s="13">
        <v>25.0</v>
      </c>
      <c r="W51" s="13" t="s">
        <v>476</v>
      </c>
      <c r="X51" s="13">
        <v>13.0</v>
      </c>
      <c r="Y51" s="13">
        <v>42.0</v>
      </c>
      <c r="Z51" s="13" t="s">
        <v>164</v>
      </c>
      <c r="AA51" s="13" t="s">
        <v>56</v>
      </c>
      <c r="AB51" s="13" t="s">
        <v>96</v>
      </c>
      <c r="AC51" s="13">
        <v>15.0</v>
      </c>
      <c r="AD51" s="13" t="s">
        <v>104</v>
      </c>
      <c r="AE51" s="13">
        <v>49.0</v>
      </c>
      <c r="AF51" s="13">
        <v>95.0</v>
      </c>
      <c r="AG51" s="13" t="s">
        <v>509</v>
      </c>
      <c r="AH51" s="13">
        <v>13.0</v>
      </c>
      <c r="AI51" s="13" t="s">
        <v>71</v>
      </c>
      <c r="AJ51" s="13" t="s">
        <v>433</v>
      </c>
      <c r="AK51" s="13">
        <v>21.0</v>
      </c>
      <c r="AL51" s="13">
        <v>24.0</v>
      </c>
      <c r="AM51" s="13" t="s">
        <v>358</v>
      </c>
      <c r="AN51" s="13">
        <v>13.0</v>
      </c>
      <c r="AO51" s="13">
        <v>50.0</v>
      </c>
      <c r="AP51" s="13" t="s">
        <v>60</v>
      </c>
      <c r="AQ51" s="13" t="s">
        <v>56</v>
      </c>
      <c r="AR51" s="13" t="s">
        <v>57</v>
      </c>
      <c r="AS51" s="13">
        <v>14.0</v>
      </c>
      <c r="AT51" s="13" t="s">
        <v>104</v>
      </c>
      <c r="AU51" s="13">
        <f>Sheet1!$Y51-Sheet1!$X51</f>
        <v>29</v>
      </c>
      <c r="AV51" s="13">
        <f>Sheet1!$AO51-Sheet1!$AN51</f>
        <v>37</v>
      </c>
      <c r="AW51" s="5"/>
      <c r="AX51" s="13">
        <v>50.0</v>
      </c>
      <c r="AY51" s="13" t="s">
        <v>586</v>
      </c>
      <c r="AZ51" s="13"/>
      <c r="BA51" s="13" t="s">
        <v>307</v>
      </c>
      <c r="BB51" s="13" t="s">
        <v>83</v>
      </c>
      <c r="BC51" s="13" t="s">
        <v>145</v>
      </c>
      <c r="BD51" s="13" t="s">
        <v>168</v>
      </c>
      <c r="BE51" s="13">
        <v>37.0</v>
      </c>
      <c r="BF51" s="13">
        <v>89.0</v>
      </c>
      <c r="BG51" s="13" t="s">
        <v>480</v>
      </c>
      <c r="BH51" s="13">
        <v>8.0</v>
      </c>
      <c r="BI51" s="13" t="s">
        <v>117</v>
      </c>
      <c r="BJ51" s="13" t="s">
        <v>579</v>
      </c>
      <c r="BK51" s="13">
        <v>18.0</v>
      </c>
      <c r="BL51" s="13">
        <v>28.0</v>
      </c>
      <c r="BM51" s="13" t="s">
        <v>315</v>
      </c>
      <c r="BN51" s="13">
        <v>16.0</v>
      </c>
      <c r="BO51" s="13">
        <v>50.0</v>
      </c>
      <c r="BP51" s="13" t="s">
        <v>109</v>
      </c>
      <c r="BQ51" s="13" t="s">
        <v>77</v>
      </c>
      <c r="BR51" s="13" t="s">
        <v>96</v>
      </c>
      <c r="BS51" s="13">
        <v>10.0</v>
      </c>
      <c r="BT51" s="13" t="s">
        <v>97</v>
      </c>
      <c r="BU51" s="13">
        <v>44.0</v>
      </c>
      <c r="BV51" s="13">
        <v>89.0</v>
      </c>
      <c r="BW51" s="13" t="s">
        <v>116</v>
      </c>
      <c r="BX51" s="13">
        <v>16.0</v>
      </c>
      <c r="BY51" s="13" t="s">
        <v>86</v>
      </c>
      <c r="BZ51" s="13" t="s">
        <v>354</v>
      </c>
      <c r="CA51" s="13">
        <v>12.0</v>
      </c>
      <c r="CB51" s="13">
        <v>15.0</v>
      </c>
      <c r="CC51" s="13" t="s">
        <v>321</v>
      </c>
      <c r="CD51" s="13">
        <v>10.0</v>
      </c>
      <c r="CE51" s="13">
        <v>49.0</v>
      </c>
      <c r="CF51" s="13" t="s">
        <v>204</v>
      </c>
      <c r="CG51" s="13" t="s">
        <v>96</v>
      </c>
      <c r="CH51" s="13" t="s">
        <v>56</v>
      </c>
      <c r="CI51" s="13">
        <v>12.0</v>
      </c>
      <c r="CJ51" s="13" t="s">
        <v>109</v>
      </c>
      <c r="CK51" s="13">
        <f>Sheet1!$BO51-Sheet1!$BN51</f>
        <v>34</v>
      </c>
      <c r="CL51" s="13">
        <f>Sheet1!$CE51-Sheet1!$CD51</f>
        <v>39</v>
      </c>
    </row>
    <row r="52" ht="14.25" customHeight="1">
      <c r="B52" s="1"/>
      <c r="D52" s="1"/>
      <c r="E52" s="11" t="s">
        <v>587</v>
      </c>
      <c r="F52" s="12" t="str">
        <f>CONCATENATE("AU",E1-9)</f>
        <v>AU-8</v>
      </c>
      <c r="G52" s="5"/>
      <c r="H52" s="13" t="s">
        <v>588</v>
      </c>
      <c r="I52" s="13" t="s">
        <v>589</v>
      </c>
      <c r="J52" s="13"/>
      <c r="K52" s="13" t="s">
        <v>47</v>
      </c>
      <c r="L52" s="13" t="s">
        <v>83</v>
      </c>
      <c r="M52" s="13" t="s">
        <v>240</v>
      </c>
      <c r="N52" s="13" t="s">
        <v>69</v>
      </c>
      <c r="O52" s="13">
        <v>37.0</v>
      </c>
      <c r="P52" s="13">
        <v>85.0</v>
      </c>
      <c r="Q52" s="13" t="s">
        <v>441</v>
      </c>
      <c r="R52" s="13">
        <v>16.0</v>
      </c>
      <c r="S52" s="13" t="s">
        <v>161</v>
      </c>
      <c r="T52" s="13" t="s">
        <v>590</v>
      </c>
      <c r="U52" s="13">
        <v>12.0</v>
      </c>
      <c r="V52" s="13">
        <v>17.0</v>
      </c>
      <c r="W52" s="13" t="s">
        <v>385</v>
      </c>
      <c r="X52" s="13">
        <v>11.0</v>
      </c>
      <c r="Y52" s="13">
        <v>46.0</v>
      </c>
      <c r="Z52" s="13" t="s">
        <v>106</v>
      </c>
      <c r="AA52" s="13" t="s">
        <v>77</v>
      </c>
      <c r="AB52" s="13" t="s">
        <v>90</v>
      </c>
      <c r="AC52" s="13">
        <v>22.0</v>
      </c>
      <c r="AD52" s="13" t="s">
        <v>64</v>
      </c>
      <c r="AE52" s="13">
        <v>43.0</v>
      </c>
      <c r="AF52" s="13">
        <v>97.0</v>
      </c>
      <c r="AG52" s="13" t="s">
        <v>417</v>
      </c>
      <c r="AH52" s="13">
        <v>15.0</v>
      </c>
      <c r="AI52" s="13" t="s">
        <v>267</v>
      </c>
      <c r="AJ52" s="13" t="s">
        <v>330</v>
      </c>
      <c r="AK52" s="13">
        <v>12.0</v>
      </c>
      <c r="AL52" s="13">
        <v>13.0</v>
      </c>
      <c r="AM52" s="13" t="s">
        <v>265</v>
      </c>
      <c r="AN52" s="13">
        <v>11.0</v>
      </c>
      <c r="AO52" s="13">
        <v>42.0</v>
      </c>
      <c r="AP52" s="13" t="s">
        <v>63</v>
      </c>
      <c r="AQ52" s="13" t="s">
        <v>124</v>
      </c>
      <c r="AR52" s="13" t="s">
        <v>90</v>
      </c>
      <c r="AS52" s="13">
        <v>11.0</v>
      </c>
      <c r="AT52" s="13" t="s">
        <v>91</v>
      </c>
      <c r="AU52" s="13">
        <f>Sheet1!$Y52-Sheet1!$X52</f>
        <v>35</v>
      </c>
      <c r="AV52" s="13">
        <f>Sheet1!$AO52-Sheet1!$AN52</f>
        <v>31</v>
      </c>
      <c r="AW52" s="5"/>
      <c r="AX52" s="13">
        <v>51.0</v>
      </c>
      <c r="AY52" s="13" t="s">
        <v>591</v>
      </c>
      <c r="AZ52" s="13" t="s">
        <v>46</v>
      </c>
      <c r="BA52" s="13" t="s">
        <v>319</v>
      </c>
      <c r="BB52" s="13" t="s">
        <v>48</v>
      </c>
      <c r="BC52" s="13" t="s">
        <v>300</v>
      </c>
      <c r="BD52" s="13" t="s">
        <v>492</v>
      </c>
      <c r="BE52" s="13">
        <v>34.0</v>
      </c>
      <c r="BF52" s="13">
        <v>73.0</v>
      </c>
      <c r="BG52" s="13" t="s">
        <v>100</v>
      </c>
      <c r="BH52" s="13">
        <v>9.0</v>
      </c>
      <c r="BI52" s="13" t="s">
        <v>95</v>
      </c>
      <c r="BJ52" s="13" t="s">
        <v>138</v>
      </c>
      <c r="BK52" s="13">
        <v>29.0</v>
      </c>
      <c r="BL52" s="13">
        <v>39.0</v>
      </c>
      <c r="BM52" s="13" t="s">
        <v>592</v>
      </c>
      <c r="BN52" s="13">
        <v>9.0</v>
      </c>
      <c r="BO52" s="13">
        <v>38.0</v>
      </c>
      <c r="BP52" s="13" t="s">
        <v>91</v>
      </c>
      <c r="BQ52" s="13" t="s">
        <v>64</v>
      </c>
      <c r="BR52" s="13" t="s">
        <v>77</v>
      </c>
      <c r="BS52" s="13">
        <v>13.0</v>
      </c>
      <c r="BT52" s="13" t="s">
        <v>104</v>
      </c>
      <c r="BU52" s="13">
        <v>33.0</v>
      </c>
      <c r="BV52" s="13">
        <v>70.0</v>
      </c>
      <c r="BW52" s="13" t="s">
        <v>70</v>
      </c>
      <c r="BX52" s="13">
        <v>14.0</v>
      </c>
      <c r="BY52" s="13" t="s">
        <v>117</v>
      </c>
      <c r="BZ52" s="13" t="s">
        <v>447</v>
      </c>
      <c r="CA52" s="13">
        <v>16.0</v>
      </c>
      <c r="CB52" s="13">
        <v>18.0</v>
      </c>
      <c r="CC52" s="13" t="s">
        <v>387</v>
      </c>
      <c r="CD52" s="13">
        <v>3.0</v>
      </c>
      <c r="CE52" s="13">
        <v>32.0</v>
      </c>
      <c r="CF52" s="13" t="s">
        <v>97</v>
      </c>
      <c r="CG52" s="13" t="s">
        <v>90</v>
      </c>
      <c r="CH52" s="13" t="s">
        <v>96</v>
      </c>
      <c r="CI52" s="13">
        <v>20.0</v>
      </c>
      <c r="CJ52" s="13" t="s">
        <v>66</v>
      </c>
      <c r="CK52" s="13">
        <f>Sheet1!$BO52-Sheet1!$BN52</f>
        <v>29</v>
      </c>
      <c r="CL52" s="13">
        <f>Sheet1!$CE52-Sheet1!$CD52</f>
        <v>29</v>
      </c>
    </row>
    <row r="53" ht="14.25" customHeight="1">
      <c r="B53" s="1"/>
      <c r="D53" s="1"/>
      <c r="E53" s="11"/>
      <c r="F53" s="12" t="str">
        <f>CONCATENATE("AU",E1)</f>
        <v>AU1</v>
      </c>
      <c r="G53" s="5"/>
      <c r="H53" s="13" t="s">
        <v>367</v>
      </c>
      <c r="I53" s="13" t="s">
        <v>593</v>
      </c>
      <c r="J53" s="13"/>
      <c r="K53" s="13" t="s">
        <v>126</v>
      </c>
      <c r="L53" s="13" t="s">
        <v>83</v>
      </c>
      <c r="M53" s="13" t="s">
        <v>240</v>
      </c>
      <c r="N53" s="13" t="s">
        <v>223</v>
      </c>
      <c r="O53" s="13">
        <v>40.0</v>
      </c>
      <c r="P53" s="13">
        <v>89.0</v>
      </c>
      <c r="Q53" s="13" t="s">
        <v>452</v>
      </c>
      <c r="R53" s="13">
        <v>13.0</v>
      </c>
      <c r="S53" s="13" t="s">
        <v>60</v>
      </c>
      <c r="T53" s="13" t="s">
        <v>61</v>
      </c>
      <c r="U53" s="13">
        <v>9.0</v>
      </c>
      <c r="V53" s="13">
        <v>13.0</v>
      </c>
      <c r="W53" s="13" t="s">
        <v>379</v>
      </c>
      <c r="X53" s="13">
        <v>11.0</v>
      </c>
      <c r="Y53" s="13">
        <v>44.0</v>
      </c>
      <c r="Z53" s="13" t="s">
        <v>71</v>
      </c>
      <c r="AA53" s="13" t="s">
        <v>90</v>
      </c>
      <c r="AB53" s="13" t="s">
        <v>90</v>
      </c>
      <c r="AC53" s="13">
        <v>15.0</v>
      </c>
      <c r="AD53" s="13" t="s">
        <v>104</v>
      </c>
      <c r="AE53" s="13">
        <v>48.0</v>
      </c>
      <c r="AF53" s="13">
        <v>94.0</v>
      </c>
      <c r="AG53" s="13" t="s">
        <v>397</v>
      </c>
      <c r="AH53" s="13">
        <v>13.0</v>
      </c>
      <c r="AI53" s="13" t="s">
        <v>129</v>
      </c>
      <c r="AJ53" s="13" t="s">
        <v>594</v>
      </c>
      <c r="AK53" s="13">
        <v>20.0</v>
      </c>
      <c r="AL53" s="13">
        <v>24.0</v>
      </c>
      <c r="AM53" s="13" t="s">
        <v>229</v>
      </c>
      <c r="AN53" s="13">
        <v>9.0</v>
      </c>
      <c r="AO53" s="13">
        <v>44.0</v>
      </c>
      <c r="AP53" s="13" t="s">
        <v>186</v>
      </c>
      <c r="AQ53" s="13" t="s">
        <v>65</v>
      </c>
      <c r="AR53" s="13" t="s">
        <v>112</v>
      </c>
      <c r="AS53" s="13">
        <v>7.0</v>
      </c>
      <c r="AT53" s="13" t="s">
        <v>124</v>
      </c>
      <c r="AU53" s="13">
        <f>Sheet1!$Y53-Sheet1!$X53</f>
        <v>33</v>
      </c>
      <c r="AV53" s="13">
        <f>Sheet1!$AO53-Sheet1!$AN53</f>
        <v>35</v>
      </c>
      <c r="AW53" s="5"/>
      <c r="AX53" s="13">
        <v>52.0</v>
      </c>
      <c r="AY53" s="13" t="s">
        <v>595</v>
      </c>
      <c r="AZ53" s="13" t="s">
        <v>46</v>
      </c>
      <c r="BA53" s="13" t="s">
        <v>136</v>
      </c>
      <c r="BB53" s="13" t="s">
        <v>83</v>
      </c>
      <c r="BC53" s="13" t="s">
        <v>127</v>
      </c>
      <c r="BD53" s="13" t="s">
        <v>199</v>
      </c>
      <c r="BE53" s="13">
        <v>33.0</v>
      </c>
      <c r="BF53" s="13">
        <v>79.0</v>
      </c>
      <c r="BG53" s="13" t="s">
        <v>128</v>
      </c>
      <c r="BH53" s="13">
        <v>11.0</v>
      </c>
      <c r="BI53" s="13" t="s">
        <v>101</v>
      </c>
      <c r="BJ53" s="13" t="s">
        <v>102</v>
      </c>
      <c r="BK53" s="13">
        <v>17.0</v>
      </c>
      <c r="BL53" s="13">
        <v>24.0</v>
      </c>
      <c r="BM53" s="13" t="s">
        <v>188</v>
      </c>
      <c r="BN53" s="13">
        <v>4.0</v>
      </c>
      <c r="BO53" s="13">
        <v>47.0</v>
      </c>
      <c r="BP53" s="13" t="s">
        <v>104</v>
      </c>
      <c r="BQ53" s="13" t="s">
        <v>65</v>
      </c>
      <c r="BR53" s="13" t="s">
        <v>90</v>
      </c>
      <c r="BS53" s="13">
        <v>19.0</v>
      </c>
      <c r="BT53" s="13" t="s">
        <v>109</v>
      </c>
      <c r="BU53" s="13">
        <v>39.0</v>
      </c>
      <c r="BV53" s="13">
        <v>90.0</v>
      </c>
      <c r="BW53" s="13" t="s">
        <v>487</v>
      </c>
      <c r="BX53" s="13">
        <v>4.0</v>
      </c>
      <c r="BY53" s="13" t="s">
        <v>66</v>
      </c>
      <c r="BZ53" s="13" t="s">
        <v>197</v>
      </c>
      <c r="CA53" s="13">
        <v>19.0</v>
      </c>
      <c r="CB53" s="13">
        <v>30.0</v>
      </c>
      <c r="CC53" s="13" t="s">
        <v>596</v>
      </c>
      <c r="CD53" s="13">
        <v>10.0</v>
      </c>
      <c r="CE53" s="13">
        <v>56.0</v>
      </c>
      <c r="CF53" s="13" t="s">
        <v>66</v>
      </c>
      <c r="CG53" s="13" t="s">
        <v>64</v>
      </c>
      <c r="CH53" s="13" t="s">
        <v>57</v>
      </c>
      <c r="CI53" s="13">
        <v>12.0</v>
      </c>
      <c r="CJ53" s="13" t="s">
        <v>164</v>
      </c>
      <c r="CK53" s="13">
        <f>Sheet1!$BO53-Sheet1!$BN53</f>
        <v>43</v>
      </c>
      <c r="CL53" s="13">
        <f>Sheet1!$CE53-Sheet1!$CD53</f>
        <v>46</v>
      </c>
    </row>
    <row r="54" ht="14.25" customHeight="1">
      <c r="B54" s="1"/>
      <c r="D54" s="1"/>
      <c r="E54" s="25" t="s">
        <v>597</v>
      </c>
      <c r="F54" s="26" t="str">
        <f>CONCATENATE("CL",F1-9)</f>
        <v>CL-8</v>
      </c>
      <c r="G54" s="5"/>
      <c r="H54" s="5"/>
      <c r="I54" s="5"/>
      <c r="J54" s="5"/>
      <c r="K54" s="5"/>
      <c r="L54" s="5"/>
      <c r="M54" s="5"/>
      <c r="N54" s="32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</row>
    <row r="55" ht="14.25" customHeight="1">
      <c r="B55" s="1"/>
      <c r="D55" s="1"/>
      <c r="E55" s="25"/>
      <c r="F55" s="26" t="str">
        <f>CONCATENATE("CL",F1)</f>
        <v>CL1</v>
      </c>
      <c r="G55" s="5"/>
      <c r="H55" s="5"/>
      <c r="I55" s="5"/>
      <c r="J55" s="5"/>
      <c r="K55" s="5"/>
      <c r="L55" s="5"/>
      <c r="M55" s="32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</row>
    <row r="56" ht="14.25" customHeight="1">
      <c r="B56" s="1"/>
      <c r="D56" s="1"/>
      <c r="E56" s="25" t="s">
        <v>587</v>
      </c>
      <c r="F56" s="26" t="str">
        <f>CONCATENATE("CK",F1-9)</f>
        <v>CK-8</v>
      </c>
      <c r="G56" s="5"/>
      <c r="H56" s="5"/>
      <c r="I56" s="5"/>
      <c r="J56" s="5"/>
      <c r="K56" s="5"/>
      <c r="L56" s="5"/>
      <c r="M56" s="32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</row>
    <row r="57" ht="14.25" customHeight="1">
      <c r="B57" s="1"/>
      <c r="D57" s="1"/>
      <c r="E57" s="25"/>
      <c r="F57" s="26" t="str">
        <f>CONCATENATE("CK",F1)</f>
        <v>CK1</v>
      </c>
      <c r="G57" s="5"/>
      <c r="H57" s="5"/>
      <c r="I57" s="5"/>
      <c r="J57" s="5"/>
      <c r="K57" s="5"/>
      <c r="L57" s="5"/>
      <c r="M57" s="32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</row>
    <row r="58" ht="14.25" customHeight="1">
      <c r="B58" s="1"/>
      <c r="D58" s="1"/>
      <c r="E58" s="11" t="s">
        <v>598</v>
      </c>
      <c r="F58" s="12" t="str">
        <f>CONCATENATE("U",E1-9)</f>
        <v>U-8</v>
      </c>
      <c r="G58" s="5"/>
      <c r="H58" s="5"/>
      <c r="I58" s="5"/>
      <c r="J58" s="5"/>
      <c r="K58" s="5"/>
      <c r="L58" s="5"/>
      <c r="M58" s="32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</row>
    <row r="59" ht="14.25" customHeight="1">
      <c r="B59" s="1"/>
      <c r="D59" s="1"/>
      <c r="E59" s="11"/>
      <c r="F59" s="12" t="str">
        <f>CONCATENATE("U",E1)</f>
        <v>U1</v>
      </c>
      <c r="G59" s="5"/>
      <c r="H59" s="5"/>
      <c r="I59" s="5"/>
      <c r="J59" s="5"/>
      <c r="K59" s="5"/>
      <c r="L59" s="5"/>
      <c r="M59" s="32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</row>
    <row r="60" ht="14.25" customHeight="1">
      <c r="B60" s="1"/>
      <c r="D60" s="1"/>
      <c r="E60" s="11" t="s">
        <v>599</v>
      </c>
      <c r="F60" s="12" t="str">
        <f>CONCATENATE("AK",E1-9)</f>
        <v>AK-8</v>
      </c>
      <c r="G60" s="5"/>
      <c r="H60" s="5"/>
      <c r="I60" s="5"/>
      <c r="J60" s="5"/>
      <c r="K60" s="5"/>
      <c r="L60" s="5"/>
      <c r="M60" s="32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</row>
    <row r="61" ht="14.25" customHeight="1">
      <c r="B61" s="1"/>
      <c r="D61" s="1"/>
      <c r="E61" s="11"/>
      <c r="F61" s="12" t="str">
        <f>CONCATENATE("AK",E1)</f>
        <v>AK1</v>
      </c>
      <c r="G61" s="5"/>
      <c r="H61" s="5"/>
      <c r="I61" s="5"/>
      <c r="J61" s="5"/>
      <c r="K61" s="5"/>
      <c r="L61" s="5"/>
      <c r="M61" s="32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</row>
    <row r="62" ht="14.25" customHeight="1">
      <c r="B62" s="1"/>
      <c r="D62" s="1"/>
      <c r="E62" s="25" t="s">
        <v>600</v>
      </c>
      <c r="F62" s="26" t="str">
        <f>CONCATENATE("BK",F1-9)</f>
        <v>BK-8</v>
      </c>
      <c r="G62" s="5"/>
      <c r="H62" s="5"/>
      <c r="I62" s="5"/>
      <c r="J62" s="5"/>
      <c r="K62" s="5"/>
      <c r="L62" s="5"/>
      <c r="M62" s="32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</row>
    <row r="63" ht="14.25" customHeight="1">
      <c r="B63" s="1"/>
      <c r="D63" s="1"/>
      <c r="E63" s="25"/>
      <c r="F63" s="26" t="str">
        <f>CONCATENATE("BK",F1)</f>
        <v>BK1</v>
      </c>
      <c r="G63" s="5"/>
      <c r="H63" s="5"/>
      <c r="I63" s="5"/>
      <c r="J63" s="5"/>
      <c r="K63" s="5"/>
      <c r="L63" s="5"/>
      <c r="M63" s="32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</row>
    <row r="64" ht="14.25" customHeight="1">
      <c r="B64" s="1"/>
      <c r="D64" s="1"/>
      <c r="E64" s="25" t="s">
        <v>599</v>
      </c>
      <c r="F64" s="26" t="str">
        <f>CONCATENATE("CA",F1-9)</f>
        <v>CA-8</v>
      </c>
      <c r="G64" s="5"/>
      <c r="H64" s="5"/>
      <c r="I64" s="5"/>
      <c r="J64" s="5"/>
      <c r="K64" s="5"/>
      <c r="L64" s="5"/>
      <c r="M64" s="32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</row>
    <row r="65" ht="14.25" customHeight="1">
      <c r="B65" s="1"/>
      <c r="D65" s="1"/>
      <c r="E65" s="25"/>
      <c r="F65" s="26" t="str">
        <f>CONCATENATE("CA",F1)</f>
        <v>CA1</v>
      </c>
      <c r="G65" s="5"/>
      <c r="H65" s="5"/>
      <c r="I65" s="5"/>
      <c r="J65" s="5"/>
      <c r="K65" s="5"/>
      <c r="L65" s="5"/>
      <c r="M65" s="32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</row>
    <row r="66" ht="14.25" customHeight="1">
      <c r="B66" s="1"/>
      <c r="D66" s="1"/>
      <c r="E66" s="33"/>
      <c r="F66" s="34"/>
      <c r="G66" s="5"/>
      <c r="H66" s="5"/>
      <c r="I66" s="5"/>
      <c r="J66" s="5"/>
      <c r="K66" s="5"/>
      <c r="L66" s="5"/>
      <c r="M66" s="32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</row>
    <row r="67" ht="14.25" customHeight="1">
      <c r="B67" s="1"/>
      <c r="D67" s="1"/>
      <c r="E67" s="33"/>
      <c r="F67" s="34"/>
      <c r="G67" s="5"/>
      <c r="H67" s="5"/>
      <c r="I67" s="5"/>
      <c r="J67" s="5"/>
      <c r="K67" s="5"/>
      <c r="L67" s="5"/>
      <c r="M67" s="32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</row>
    <row r="68" ht="14.25" customHeight="1">
      <c r="B68" s="1"/>
      <c r="D68" s="1"/>
      <c r="E68" s="33"/>
      <c r="F68" s="34"/>
      <c r="G68" s="5"/>
      <c r="H68" s="5"/>
      <c r="I68" s="5"/>
      <c r="J68" s="5"/>
      <c r="K68" s="5"/>
      <c r="L68" s="5"/>
      <c r="M68" s="32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</row>
    <row r="69" ht="14.25" customHeight="1">
      <c r="B69" s="1"/>
      <c r="D69" s="1"/>
      <c r="E69" s="33"/>
      <c r="F69" s="34"/>
      <c r="G69" s="5"/>
      <c r="H69" s="5"/>
      <c r="I69" s="5"/>
      <c r="J69" s="5"/>
      <c r="K69" s="5"/>
      <c r="L69" s="5"/>
      <c r="M69" s="32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</row>
    <row r="70" ht="14.25" customHeight="1">
      <c r="B70" s="1"/>
      <c r="D70" s="1"/>
      <c r="E70" s="33"/>
      <c r="F70" s="34"/>
      <c r="G70" s="5"/>
      <c r="H70" s="5"/>
      <c r="I70" s="5"/>
      <c r="J70" s="5"/>
      <c r="K70" s="5"/>
      <c r="L70" s="5"/>
      <c r="M70" s="32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</row>
    <row r="71" ht="14.25" customHeight="1">
      <c r="B71" s="1"/>
      <c r="D71" s="1"/>
      <c r="E71" s="33"/>
      <c r="F71" s="34"/>
      <c r="G71" s="5"/>
      <c r="H71" s="5"/>
      <c r="I71" s="5"/>
      <c r="J71" s="5"/>
      <c r="K71" s="5"/>
      <c r="L71" s="5"/>
      <c r="M71" s="32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</row>
    <row r="72" ht="14.25" customHeight="1">
      <c r="B72" s="1"/>
      <c r="D72" s="1"/>
      <c r="E72" s="33"/>
      <c r="F72" s="34"/>
      <c r="G72" s="5"/>
      <c r="H72" s="5"/>
      <c r="I72" s="5"/>
      <c r="J72" s="5"/>
      <c r="K72" s="5"/>
      <c r="L72" s="5"/>
      <c r="M72" s="32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</row>
    <row r="73" ht="14.25" customHeight="1">
      <c r="B73" s="1"/>
      <c r="D73" s="1"/>
      <c r="E73" s="33"/>
      <c r="F73" s="34"/>
      <c r="G73" s="5"/>
      <c r="H73" s="5"/>
      <c r="I73" s="5"/>
      <c r="J73" s="5"/>
      <c r="K73" s="5"/>
      <c r="L73" s="5"/>
      <c r="M73" s="32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</row>
    <row r="74" ht="14.25" customHeight="1">
      <c r="B74" s="1"/>
      <c r="D74" s="1"/>
      <c r="E74" s="33"/>
      <c r="F74" s="34"/>
      <c r="G74" s="5"/>
      <c r="H74" s="5"/>
      <c r="I74" s="5"/>
      <c r="J74" s="5"/>
      <c r="K74" s="5"/>
      <c r="L74" s="5"/>
      <c r="M74" s="32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</row>
    <row r="75" ht="14.25" customHeight="1">
      <c r="B75" s="1"/>
      <c r="D75" s="1"/>
      <c r="E75" s="33"/>
      <c r="F75" s="34"/>
      <c r="G75" s="5"/>
      <c r="H75" s="5"/>
      <c r="I75" s="5"/>
      <c r="J75" s="5"/>
      <c r="K75" s="5"/>
      <c r="L75" s="5"/>
      <c r="M75" s="32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</row>
    <row r="76" ht="14.25" customHeight="1">
      <c r="B76" s="1"/>
      <c r="D76" s="1"/>
      <c r="E76" s="33"/>
      <c r="F76" s="34"/>
      <c r="G76" s="5"/>
      <c r="H76" s="5"/>
      <c r="I76" s="5"/>
      <c r="J76" s="5"/>
      <c r="K76" s="5"/>
      <c r="L76" s="5"/>
      <c r="M76" s="32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</row>
    <row r="77" ht="14.25" customHeight="1">
      <c r="B77" s="1"/>
      <c r="D77" s="1"/>
      <c r="E77" s="33"/>
      <c r="F77" s="34"/>
      <c r="G77" s="5"/>
      <c r="H77" s="5"/>
      <c r="I77" s="5"/>
      <c r="J77" s="5"/>
      <c r="K77" s="5"/>
      <c r="L77" s="5"/>
      <c r="M77" s="32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</row>
    <row r="78" ht="14.25" customHeight="1">
      <c r="B78" s="1"/>
      <c r="D78" s="1"/>
      <c r="E78" s="33"/>
      <c r="F78" s="34"/>
      <c r="G78" s="5"/>
      <c r="H78" s="5"/>
      <c r="I78" s="5"/>
      <c r="J78" s="5"/>
      <c r="K78" s="5"/>
      <c r="L78" s="5"/>
      <c r="M78" s="32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</row>
    <row r="79" ht="14.25" customHeight="1">
      <c r="B79" s="1"/>
      <c r="D79" s="1"/>
      <c r="E79" s="33"/>
      <c r="F79" s="34"/>
      <c r="G79" s="5"/>
      <c r="H79" s="5"/>
      <c r="I79" s="5"/>
      <c r="J79" s="5"/>
      <c r="K79" s="5"/>
      <c r="L79" s="5"/>
      <c r="M79" s="32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</row>
    <row r="80" ht="14.25" customHeight="1">
      <c r="B80" s="1"/>
      <c r="D80" s="1"/>
      <c r="E80" s="33"/>
      <c r="F80" s="34"/>
      <c r="G80" s="5"/>
      <c r="H80" s="5"/>
      <c r="I80" s="5"/>
      <c r="J80" s="5"/>
      <c r="K80" s="5"/>
      <c r="L80" s="5"/>
      <c r="M80" s="32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</row>
    <row r="81" ht="14.25" customHeight="1">
      <c r="B81" s="1"/>
      <c r="D81" s="1"/>
      <c r="E81" s="33"/>
      <c r="F81" s="34"/>
      <c r="G81" s="5"/>
      <c r="H81" s="5"/>
      <c r="I81" s="5"/>
      <c r="J81" s="5"/>
      <c r="K81" s="5"/>
      <c r="L81" s="5"/>
      <c r="M81" s="32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</row>
    <row r="82" ht="14.25" customHeight="1">
      <c r="B82" s="1"/>
      <c r="D82" s="1"/>
      <c r="E82" s="33"/>
      <c r="F82" s="34"/>
      <c r="G82" s="5"/>
      <c r="H82" s="5"/>
      <c r="I82" s="5"/>
      <c r="J82" s="5"/>
      <c r="K82" s="5"/>
      <c r="L82" s="5"/>
      <c r="M82" s="32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</row>
    <row r="83" ht="14.25" customHeight="1">
      <c r="B83" s="1"/>
      <c r="D83" s="1"/>
      <c r="E83" s="33"/>
      <c r="F83" s="34"/>
      <c r="G83" s="5"/>
      <c r="H83" s="5"/>
      <c r="I83" s="5"/>
      <c r="J83" s="5"/>
      <c r="K83" s="5"/>
      <c r="L83" s="5"/>
      <c r="M83" s="32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</row>
    <row r="84" ht="14.25" customHeight="1">
      <c r="B84" s="1"/>
      <c r="D84" s="1"/>
      <c r="E84" s="33"/>
      <c r="F84" s="34"/>
      <c r="G84" s="5"/>
      <c r="H84" s="5"/>
      <c r="I84" s="5"/>
      <c r="J84" s="5"/>
      <c r="K84" s="5"/>
      <c r="L84" s="5"/>
      <c r="M84" s="32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</row>
    <row r="85" ht="14.25" customHeight="1">
      <c r="B85" s="1"/>
      <c r="D85" s="1"/>
      <c r="E85" s="33"/>
      <c r="F85" s="34"/>
      <c r="G85" s="5"/>
      <c r="H85" s="5"/>
      <c r="I85" s="5"/>
      <c r="J85" s="5"/>
      <c r="K85" s="5"/>
      <c r="L85" s="5"/>
      <c r="M85" s="32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</row>
    <row r="86" ht="14.25" customHeight="1">
      <c r="B86" s="1"/>
      <c r="D86" s="1"/>
      <c r="E86" s="33"/>
      <c r="F86" s="34"/>
      <c r="G86" s="5"/>
      <c r="H86" s="5"/>
      <c r="I86" s="5"/>
      <c r="J86" s="5"/>
      <c r="K86" s="5"/>
      <c r="L86" s="5"/>
      <c r="M86" s="32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</row>
    <row r="87" ht="14.25" customHeight="1">
      <c r="B87" s="1"/>
      <c r="D87" s="1"/>
      <c r="E87" s="33"/>
      <c r="F87" s="34"/>
      <c r="G87" s="5"/>
      <c r="H87" s="5"/>
      <c r="I87" s="5"/>
      <c r="J87" s="5"/>
      <c r="K87" s="5"/>
      <c r="L87" s="5"/>
      <c r="M87" s="32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</row>
    <row r="88" ht="14.25" customHeight="1">
      <c r="B88" s="1"/>
      <c r="D88" s="1"/>
      <c r="E88" s="33"/>
      <c r="F88" s="34"/>
      <c r="G88" s="5"/>
      <c r="H88" s="5"/>
      <c r="I88" s="5"/>
      <c r="J88" s="5"/>
      <c r="K88" s="5"/>
      <c r="L88" s="5"/>
      <c r="M88" s="32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</row>
    <row r="89" ht="14.25" customHeight="1">
      <c r="B89" s="1"/>
      <c r="D89" s="1"/>
      <c r="E89" s="33"/>
      <c r="F89" s="34"/>
      <c r="G89" s="5"/>
      <c r="H89" s="5"/>
      <c r="I89" s="5"/>
      <c r="J89" s="5"/>
      <c r="K89" s="5"/>
      <c r="L89" s="5"/>
      <c r="M89" s="32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</row>
    <row r="90" ht="14.25" customHeight="1">
      <c r="B90" s="1"/>
      <c r="D90" s="1"/>
      <c r="E90" s="33"/>
      <c r="F90" s="34"/>
      <c r="G90" s="5"/>
      <c r="H90" s="5"/>
      <c r="I90" s="5"/>
      <c r="J90" s="5"/>
      <c r="K90" s="5"/>
      <c r="L90" s="5"/>
      <c r="M90" s="32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</row>
    <row r="91" ht="14.25" customHeight="1">
      <c r="B91" s="1"/>
      <c r="D91" s="1"/>
      <c r="E91" s="33"/>
      <c r="F91" s="34"/>
      <c r="G91" s="5"/>
      <c r="H91" s="5"/>
      <c r="I91" s="5"/>
      <c r="J91" s="5"/>
      <c r="K91" s="5"/>
      <c r="L91" s="5"/>
      <c r="M91" s="32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</row>
    <row r="92" ht="14.25" customHeight="1">
      <c r="B92" s="1"/>
      <c r="D92" s="1"/>
      <c r="E92" s="33"/>
      <c r="F92" s="34"/>
      <c r="G92" s="5"/>
      <c r="H92" s="5"/>
      <c r="I92" s="5"/>
      <c r="J92" s="5"/>
      <c r="K92" s="5"/>
      <c r="L92" s="5"/>
      <c r="M92" s="32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</row>
    <row r="93" ht="14.25" customHeight="1">
      <c r="B93" s="1"/>
      <c r="D93" s="1"/>
      <c r="E93" s="33"/>
      <c r="F93" s="34"/>
      <c r="G93" s="5"/>
      <c r="H93" s="5"/>
      <c r="I93" s="5"/>
      <c r="J93" s="5"/>
      <c r="K93" s="5"/>
      <c r="L93" s="5"/>
      <c r="M93" s="32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</row>
    <row r="94" ht="14.25" customHeight="1">
      <c r="B94" s="1"/>
      <c r="D94" s="1"/>
      <c r="E94" s="33"/>
      <c r="F94" s="34"/>
      <c r="G94" s="5"/>
      <c r="H94" s="5"/>
      <c r="I94" s="5"/>
      <c r="J94" s="5"/>
      <c r="K94" s="5"/>
      <c r="L94" s="5"/>
      <c r="M94" s="32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</row>
    <row r="95" ht="14.25" customHeight="1">
      <c r="B95" s="1"/>
      <c r="D95" s="1"/>
      <c r="E95" s="33"/>
      <c r="F95" s="34"/>
      <c r="G95" s="5"/>
      <c r="H95" s="5"/>
      <c r="I95" s="5"/>
      <c r="J95" s="5"/>
      <c r="K95" s="5"/>
      <c r="L95" s="5"/>
      <c r="M95" s="32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</row>
    <row r="96" ht="14.25" customHeight="1">
      <c r="B96" s="1"/>
      <c r="D96" s="1"/>
      <c r="E96" s="33"/>
      <c r="F96" s="34"/>
      <c r="G96" s="5"/>
      <c r="H96" s="5"/>
      <c r="I96" s="5"/>
      <c r="J96" s="5"/>
      <c r="K96" s="5"/>
      <c r="L96" s="5"/>
      <c r="M96" s="32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</row>
    <row r="97" ht="14.25" customHeight="1">
      <c r="B97" s="1"/>
      <c r="D97" s="1"/>
      <c r="E97" s="33"/>
      <c r="F97" s="34"/>
      <c r="G97" s="5"/>
      <c r="H97" s="5"/>
      <c r="I97" s="5"/>
      <c r="J97" s="5"/>
      <c r="K97" s="5"/>
      <c r="L97" s="5"/>
      <c r="M97" s="32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</row>
    <row r="98" ht="14.25" customHeight="1">
      <c r="B98" s="1"/>
      <c r="D98" s="1"/>
      <c r="E98" s="33"/>
      <c r="F98" s="34"/>
      <c r="G98" s="5"/>
      <c r="H98" s="5"/>
      <c r="I98" s="5"/>
      <c r="J98" s="5"/>
      <c r="K98" s="5"/>
      <c r="L98" s="5"/>
      <c r="M98" s="32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</row>
    <row r="99" ht="14.25" customHeight="1">
      <c r="B99" s="1"/>
      <c r="D99" s="1"/>
      <c r="E99" s="33"/>
      <c r="F99" s="34"/>
      <c r="G99" s="5"/>
      <c r="H99" s="5"/>
      <c r="I99" s="5"/>
      <c r="J99" s="5"/>
      <c r="K99" s="5"/>
      <c r="L99" s="5"/>
      <c r="M99" s="32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</row>
    <row r="100" ht="14.25" customHeight="1">
      <c r="B100" s="1"/>
      <c r="D100" s="1"/>
      <c r="E100" s="33"/>
      <c r="F100" s="34"/>
      <c r="G100" s="5"/>
      <c r="H100" s="5"/>
      <c r="I100" s="5"/>
      <c r="J100" s="5"/>
      <c r="K100" s="5"/>
      <c r="L100" s="5"/>
      <c r="M100" s="32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</row>
    <row r="101" ht="14.25" customHeight="1">
      <c r="B101" s="1"/>
      <c r="D101" s="1"/>
      <c r="E101" s="33"/>
      <c r="F101" s="34"/>
      <c r="G101" s="5"/>
      <c r="H101" s="5"/>
      <c r="I101" s="5"/>
      <c r="J101" s="5"/>
      <c r="K101" s="5"/>
      <c r="L101" s="5"/>
      <c r="M101" s="32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</row>
    <row r="102" ht="14.25" customHeight="1">
      <c r="B102" s="1"/>
      <c r="D102" s="1"/>
      <c r="E102" s="33"/>
      <c r="F102" s="34"/>
      <c r="G102" s="5"/>
      <c r="H102" s="5"/>
      <c r="I102" s="5"/>
      <c r="J102" s="5"/>
      <c r="K102" s="5"/>
      <c r="L102" s="5"/>
      <c r="M102" s="32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</row>
    <row r="103" ht="14.25" customHeight="1">
      <c r="B103" s="1"/>
      <c r="D103" s="1"/>
      <c r="E103" s="33"/>
      <c r="F103" s="34"/>
      <c r="G103" s="5"/>
      <c r="H103" s="5"/>
      <c r="I103" s="5"/>
      <c r="J103" s="5"/>
      <c r="K103" s="5"/>
      <c r="L103" s="5"/>
      <c r="M103" s="32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</row>
    <row r="104" ht="14.25" customHeight="1">
      <c r="B104" s="1"/>
      <c r="D104" s="1"/>
      <c r="E104" s="33"/>
      <c r="F104" s="34"/>
      <c r="G104" s="5"/>
      <c r="H104" s="5"/>
      <c r="I104" s="5"/>
      <c r="J104" s="5"/>
      <c r="K104" s="5"/>
      <c r="L104" s="5"/>
      <c r="M104" s="32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</row>
    <row r="105" ht="14.25" customHeight="1">
      <c r="B105" s="1"/>
      <c r="D105" s="1"/>
      <c r="E105" s="33"/>
      <c r="F105" s="34"/>
      <c r="G105" s="5"/>
      <c r="H105" s="5"/>
      <c r="I105" s="5"/>
      <c r="J105" s="5"/>
      <c r="K105" s="5"/>
      <c r="L105" s="5"/>
      <c r="M105" s="32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</row>
    <row r="106" ht="14.25" customHeight="1">
      <c r="B106" s="1"/>
      <c r="D106" s="1"/>
      <c r="E106" s="33"/>
      <c r="F106" s="34"/>
      <c r="G106" s="5"/>
      <c r="H106" s="5"/>
      <c r="I106" s="5"/>
      <c r="J106" s="5"/>
      <c r="K106" s="5"/>
      <c r="L106" s="5"/>
      <c r="M106" s="32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</row>
    <row r="107" ht="14.25" customHeight="1">
      <c r="B107" s="1"/>
      <c r="D107" s="1"/>
      <c r="E107" s="33"/>
      <c r="F107" s="34"/>
      <c r="G107" s="5"/>
      <c r="H107" s="5"/>
      <c r="I107" s="5"/>
      <c r="J107" s="5"/>
      <c r="K107" s="5"/>
      <c r="L107" s="5"/>
      <c r="M107" s="32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</row>
    <row r="108" ht="14.25" customHeight="1">
      <c r="B108" s="1"/>
      <c r="D108" s="1"/>
      <c r="E108" s="33"/>
      <c r="F108" s="34"/>
      <c r="G108" s="5"/>
      <c r="H108" s="5"/>
      <c r="I108" s="5"/>
      <c r="J108" s="5"/>
      <c r="K108" s="5"/>
      <c r="L108" s="5"/>
      <c r="M108" s="32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</row>
    <row r="109" ht="14.25" customHeight="1">
      <c r="B109" s="1"/>
      <c r="D109" s="1"/>
      <c r="E109" s="33"/>
      <c r="F109" s="34"/>
      <c r="G109" s="5"/>
      <c r="H109" s="5"/>
      <c r="I109" s="5"/>
      <c r="J109" s="5"/>
      <c r="K109" s="5"/>
      <c r="L109" s="5"/>
      <c r="M109" s="32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</row>
    <row r="110" ht="14.25" customHeight="1">
      <c r="B110" s="1"/>
      <c r="D110" s="1"/>
      <c r="E110" s="33"/>
      <c r="F110" s="34"/>
      <c r="G110" s="5"/>
      <c r="H110" s="5"/>
      <c r="I110" s="5"/>
      <c r="J110" s="5"/>
      <c r="K110" s="5"/>
      <c r="L110" s="5"/>
      <c r="M110" s="32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</row>
    <row r="111" ht="14.25" customHeight="1">
      <c r="B111" s="1"/>
      <c r="D111" s="1"/>
      <c r="E111" s="33"/>
      <c r="F111" s="34"/>
      <c r="G111" s="5"/>
      <c r="H111" s="5"/>
      <c r="I111" s="5"/>
      <c r="J111" s="5"/>
      <c r="K111" s="5"/>
      <c r="L111" s="5"/>
      <c r="M111" s="32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</row>
    <row r="112" ht="14.25" customHeight="1">
      <c r="B112" s="1"/>
      <c r="D112" s="1"/>
      <c r="E112" s="33"/>
      <c r="F112" s="34"/>
      <c r="G112" s="5"/>
      <c r="H112" s="5"/>
      <c r="I112" s="5"/>
      <c r="J112" s="5"/>
      <c r="K112" s="5"/>
      <c r="L112" s="5"/>
      <c r="M112" s="32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</row>
    <row r="113" ht="14.25" customHeight="1">
      <c r="B113" s="1"/>
      <c r="D113" s="1"/>
      <c r="E113" s="33"/>
      <c r="F113" s="34"/>
      <c r="G113" s="5"/>
      <c r="H113" s="5"/>
      <c r="I113" s="5"/>
      <c r="J113" s="5"/>
      <c r="K113" s="5"/>
      <c r="L113" s="5"/>
      <c r="M113" s="32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</row>
    <row r="114" ht="14.25" customHeight="1">
      <c r="B114" s="1"/>
      <c r="D114" s="1"/>
      <c r="E114" s="33"/>
      <c r="F114" s="34"/>
      <c r="G114" s="5"/>
      <c r="H114" s="5"/>
      <c r="I114" s="5"/>
      <c r="J114" s="5"/>
      <c r="K114" s="5"/>
      <c r="L114" s="5"/>
      <c r="M114" s="32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</row>
    <row r="115" ht="14.25" customHeight="1">
      <c r="B115" s="1"/>
      <c r="D115" s="1"/>
      <c r="E115" s="33"/>
      <c r="F115" s="34"/>
      <c r="G115" s="5"/>
      <c r="H115" s="5"/>
      <c r="I115" s="5"/>
      <c r="J115" s="5"/>
      <c r="K115" s="5"/>
      <c r="L115" s="5"/>
      <c r="M115" s="32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</row>
    <row r="116" ht="14.25" customHeight="1">
      <c r="B116" s="1"/>
      <c r="D116" s="1"/>
      <c r="E116" s="33"/>
      <c r="F116" s="34"/>
      <c r="G116" s="5"/>
      <c r="H116" s="5"/>
      <c r="I116" s="5"/>
      <c r="J116" s="5"/>
      <c r="K116" s="5"/>
      <c r="L116" s="5"/>
      <c r="M116" s="32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</row>
    <row r="117" ht="14.25" customHeight="1">
      <c r="B117" s="1"/>
      <c r="D117" s="1"/>
      <c r="E117" s="33"/>
      <c r="F117" s="34"/>
      <c r="G117" s="5"/>
      <c r="H117" s="5"/>
      <c r="I117" s="5"/>
      <c r="J117" s="5"/>
      <c r="K117" s="5"/>
      <c r="L117" s="5"/>
      <c r="M117" s="32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</row>
    <row r="118" ht="14.25" customHeight="1">
      <c r="B118" s="1"/>
      <c r="D118" s="1"/>
      <c r="E118" s="33"/>
      <c r="F118" s="34"/>
      <c r="G118" s="5"/>
      <c r="H118" s="5"/>
      <c r="I118" s="5"/>
      <c r="J118" s="5"/>
      <c r="K118" s="5"/>
      <c r="L118" s="5"/>
      <c r="M118" s="32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</row>
    <row r="119" ht="14.25" customHeight="1">
      <c r="B119" s="1"/>
      <c r="D119" s="1"/>
      <c r="E119" s="33"/>
      <c r="F119" s="34"/>
      <c r="G119" s="5"/>
      <c r="H119" s="5"/>
      <c r="I119" s="5"/>
      <c r="J119" s="5"/>
      <c r="K119" s="5"/>
      <c r="L119" s="5"/>
      <c r="M119" s="32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</row>
    <row r="120" ht="14.25" customHeight="1">
      <c r="B120" s="1"/>
      <c r="D120" s="1"/>
      <c r="E120" s="33"/>
      <c r="F120" s="34"/>
      <c r="G120" s="5"/>
      <c r="H120" s="5"/>
      <c r="I120" s="5"/>
      <c r="J120" s="5"/>
      <c r="K120" s="5"/>
      <c r="L120" s="5"/>
      <c r="M120" s="32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</row>
    <row r="121" ht="14.25" customHeight="1">
      <c r="B121" s="1"/>
      <c r="D121" s="1"/>
      <c r="E121" s="33"/>
      <c r="F121" s="34"/>
      <c r="G121" s="5"/>
      <c r="H121" s="5"/>
      <c r="I121" s="5"/>
      <c r="J121" s="5"/>
      <c r="K121" s="5"/>
      <c r="L121" s="5"/>
      <c r="M121" s="32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</row>
    <row r="122" ht="14.25" customHeight="1">
      <c r="B122" s="1"/>
      <c r="D122" s="1"/>
      <c r="E122" s="33"/>
      <c r="F122" s="34"/>
      <c r="G122" s="5"/>
      <c r="H122" s="5"/>
      <c r="I122" s="5"/>
      <c r="J122" s="5"/>
      <c r="K122" s="5"/>
      <c r="L122" s="5"/>
      <c r="M122" s="32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</row>
    <row r="123" ht="14.25" customHeight="1">
      <c r="B123" s="1"/>
      <c r="D123" s="1"/>
      <c r="E123" s="33"/>
      <c r="F123" s="34"/>
      <c r="G123" s="5"/>
      <c r="H123" s="5"/>
      <c r="I123" s="5"/>
      <c r="J123" s="5"/>
      <c r="K123" s="5"/>
      <c r="L123" s="5"/>
      <c r="M123" s="32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</row>
    <row r="124" ht="14.25" customHeight="1">
      <c r="B124" s="1"/>
      <c r="D124" s="1"/>
      <c r="E124" s="33"/>
      <c r="F124" s="34"/>
      <c r="G124" s="5"/>
      <c r="H124" s="5"/>
      <c r="I124" s="5"/>
      <c r="J124" s="5"/>
      <c r="K124" s="5"/>
      <c r="L124" s="5"/>
      <c r="M124" s="32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</row>
    <row r="125" ht="14.25" customHeight="1">
      <c r="B125" s="1"/>
      <c r="D125" s="1"/>
      <c r="E125" s="33"/>
      <c r="F125" s="34"/>
      <c r="G125" s="5"/>
      <c r="H125" s="5"/>
      <c r="I125" s="5"/>
      <c r="J125" s="5"/>
      <c r="K125" s="5"/>
      <c r="L125" s="5"/>
      <c r="M125" s="32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</row>
    <row r="126" ht="14.25" customHeight="1">
      <c r="B126" s="1"/>
      <c r="D126" s="1"/>
      <c r="E126" s="33"/>
      <c r="F126" s="34"/>
      <c r="G126" s="5"/>
      <c r="H126" s="5"/>
      <c r="I126" s="5"/>
      <c r="J126" s="5"/>
      <c r="K126" s="5"/>
      <c r="L126" s="5"/>
      <c r="M126" s="32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</row>
    <row r="127" ht="14.25" customHeight="1">
      <c r="B127" s="1"/>
      <c r="D127" s="1"/>
      <c r="E127" s="33"/>
      <c r="F127" s="34"/>
      <c r="G127" s="5"/>
      <c r="H127" s="5"/>
      <c r="I127" s="5"/>
      <c r="J127" s="5"/>
      <c r="K127" s="5"/>
      <c r="L127" s="5"/>
      <c r="M127" s="32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</row>
    <row r="128" ht="14.25" customHeight="1">
      <c r="B128" s="1"/>
      <c r="D128" s="1"/>
      <c r="E128" s="33"/>
      <c r="F128" s="34"/>
      <c r="G128" s="5"/>
      <c r="H128" s="5"/>
      <c r="I128" s="5"/>
      <c r="J128" s="5"/>
      <c r="K128" s="5"/>
      <c r="L128" s="5"/>
      <c r="M128" s="32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</row>
    <row r="129" ht="14.25" customHeight="1">
      <c r="B129" s="1"/>
      <c r="D129" s="1"/>
      <c r="E129" s="33"/>
      <c r="F129" s="34"/>
      <c r="G129" s="5"/>
      <c r="H129" s="5"/>
      <c r="I129" s="5"/>
      <c r="J129" s="5"/>
      <c r="K129" s="5"/>
      <c r="L129" s="5"/>
      <c r="M129" s="32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</row>
    <row r="130" ht="14.25" customHeight="1">
      <c r="B130" s="1"/>
      <c r="D130" s="1"/>
      <c r="E130" s="33"/>
      <c r="F130" s="34"/>
      <c r="G130" s="5"/>
      <c r="H130" s="5"/>
      <c r="I130" s="5"/>
      <c r="J130" s="5"/>
      <c r="K130" s="5"/>
      <c r="L130" s="5"/>
      <c r="M130" s="32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</row>
    <row r="131" ht="14.25" customHeight="1">
      <c r="B131" s="1"/>
      <c r="D131" s="1"/>
      <c r="E131" s="33"/>
      <c r="F131" s="34"/>
      <c r="G131" s="5"/>
      <c r="H131" s="5"/>
      <c r="I131" s="5"/>
      <c r="J131" s="5"/>
      <c r="K131" s="5"/>
      <c r="L131" s="5"/>
      <c r="M131" s="32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</row>
    <row r="132" ht="14.25" customHeight="1">
      <c r="B132" s="1"/>
      <c r="D132" s="1"/>
      <c r="E132" s="33"/>
      <c r="F132" s="34"/>
      <c r="G132" s="5"/>
      <c r="H132" s="5"/>
      <c r="I132" s="5"/>
      <c r="J132" s="5"/>
      <c r="K132" s="5"/>
      <c r="L132" s="5"/>
      <c r="M132" s="32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</row>
    <row r="133" ht="14.25" customHeight="1">
      <c r="B133" s="1"/>
      <c r="D133" s="1"/>
      <c r="E133" s="33"/>
      <c r="F133" s="34"/>
      <c r="G133" s="5"/>
      <c r="H133" s="5"/>
      <c r="I133" s="5"/>
      <c r="J133" s="5"/>
      <c r="K133" s="5"/>
      <c r="L133" s="5"/>
      <c r="M133" s="32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</row>
    <row r="134" ht="14.25" customHeight="1">
      <c r="B134" s="1"/>
      <c r="D134" s="1"/>
      <c r="E134" s="33"/>
      <c r="F134" s="34"/>
      <c r="G134" s="5"/>
      <c r="H134" s="5"/>
      <c r="I134" s="5"/>
      <c r="J134" s="5"/>
      <c r="K134" s="5"/>
      <c r="L134" s="5"/>
      <c r="M134" s="32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</row>
    <row r="135" ht="14.25" customHeight="1">
      <c r="B135" s="1"/>
      <c r="D135" s="1"/>
      <c r="E135" s="33"/>
      <c r="F135" s="34"/>
      <c r="G135" s="5"/>
      <c r="H135" s="5"/>
      <c r="I135" s="5"/>
      <c r="J135" s="5"/>
      <c r="K135" s="5"/>
      <c r="L135" s="5"/>
      <c r="M135" s="32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</row>
    <row r="136" ht="14.25" customHeight="1">
      <c r="B136" s="1"/>
      <c r="D136" s="1"/>
      <c r="E136" s="33"/>
      <c r="F136" s="34"/>
      <c r="G136" s="5"/>
      <c r="H136" s="5"/>
      <c r="I136" s="5"/>
      <c r="J136" s="5"/>
      <c r="K136" s="5"/>
      <c r="L136" s="5"/>
      <c r="M136" s="32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</row>
    <row r="137" ht="14.25" customHeight="1">
      <c r="B137" s="1"/>
      <c r="D137" s="1"/>
      <c r="E137" s="33"/>
      <c r="F137" s="34"/>
      <c r="G137" s="5"/>
      <c r="H137" s="5"/>
      <c r="I137" s="5"/>
      <c r="J137" s="5"/>
      <c r="K137" s="5"/>
      <c r="L137" s="5"/>
      <c r="M137" s="32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</row>
    <row r="138" ht="14.25" customHeight="1">
      <c r="B138" s="1"/>
      <c r="D138" s="1"/>
      <c r="E138" s="33"/>
      <c r="F138" s="34"/>
      <c r="G138" s="5"/>
      <c r="H138" s="5"/>
      <c r="I138" s="5"/>
      <c r="J138" s="5"/>
      <c r="K138" s="5"/>
      <c r="L138" s="5"/>
      <c r="M138" s="32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</row>
    <row r="139" ht="14.25" customHeight="1">
      <c r="B139" s="1"/>
      <c r="D139" s="1"/>
      <c r="E139" s="33"/>
      <c r="F139" s="34"/>
      <c r="G139" s="5"/>
      <c r="H139" s="5"/>
      <c r="I139" s="5"/>
      <c r="J139" s="5"/>
      <c r="K139" s="5"/>
      <c r="L139" s="5"/>
      <c r="M139" s="32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</row>
    <row r="140" ht="14.25" customHeight="1">
      <c r="B140" s="1"/>
      <c r="D140" s="1"/>
      <c r="E140" s="33"/>
      <c r="F140" s="34"/>
      <c r="G140" s="5"/>
      <c r="H140" s="5"/>
      <c r="I140" s="5"/>
      <c r="J140" s="5"/>
      <c r="K140" s="5"/>
      <c r="L140" s="5"/>
      <c r="M140" s="32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</row>
    <row r="141" ht="14.25" customHeight="1">
      <c r="B141" s="1"/>
      <c r="D141" s="1"/>
      <c r="E141" s="33"/>
      <c r="F141" s="34"/>
      <c r="G141" s="5"/>
      <c r="H141" s="5"/>
      <c r="I141" s="5"/>
      <c r="J141" s="5"/>
      <c r="K141" s="5"/>
      <c r="L141" s="5"/>
      <c r="M141" s="32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</row>
    <row r="142" ht="14.25" customHeight="1">
      <c r="B142" s="1"/>
      <c r="D142" s="1"/>
      <c r="E142" s="33"/>
      <c r="F142" s="34"/>
      <c r="G142" s="5"/>
      <c r="H142" s="5"/>
      <c r="I142" s="5"/>
      <c r="J142" s="5"/>
      <c r="K142" s="5"/>
      <c r="L142" s="5"/>
      <c r="M142" s="32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</row>
    <row r="143" ht="14.25" customHeight="1">
      <c r="B143" s="1"/>
      <c r="D143" s="1"/>
      <c r="E143" s="33"/>
      <c r="F143" s="34"/>
      <c r="G143" s="5"/>
      <c r="H143" s="5"/>
      <c r="I143" s="5"/>
      <c r="J143" s="5"/>
      <c r="K143" s="5"/>
      <c r="L143" s="5"/>
      <c r="M143" s="32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</row>
    <row r="144" ht="14.25" customHeight="1">
      <c r="B144" s="1"/>
      <c r="D144" s="1"/>
      <c r="E144" s="33"/>
      <c r="F144" s="34"/>
      <c r="G144" s="5"/>
      <c r="H144" s="5"/>
      <c r="I144" s="5"/>
      <c r="J144" s="5"/>
      <c r="K144" s="5"/>
      <c r="L144" s="5"/>
      <c r="M144" s="32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</row>
    <row r="145" ht="14.25" customHeight="1">
      <c r="B145" s="1"/>
      <c r="D145" s="1"/>
      <c r="E145" s="33"/>
      <c r="F145" s="34"/>
      <c r="G145" s="5"/>
      <c r="H145" s="5"/>
      <c r="I145" s="5"/>
      <c r="J145" s="5"/>
      <c r="K145" s="5"/>
      <c r="L145" s="5"/>
      <c r="M145" s="32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</row>
    <row r="146" ht="14.25" customHeight="1">
      <c r="B146" s="1"/>
      <c r="D146" s="1"/>
      <c r="E146" s="33"/>
      <c r="F146" s="34"/>
      <c r="G146" s="5"/>
      <c r="H146" s="5"/>
      <c r="I146" s="5"/>
      <c r="J146" s="5"/>
      <c r="K146" s="5"/>
      <c r="L146" s="5"/>
      <c r="M146" s="32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</row>
    <row r="147" ht="14.25" customHeight="1">
      <c r="B147" s="1"/>
      <c r="D147" s="1"/>
      <c r="E147" s="33"/>
      <c r="F147" s="34"/>
      <c r="G147" s="5"/>
      <c r="H147" s="5"/>
      <c r="I147" s="5"/>
      <c r="J147" s="5"/>
      <c r="K147" s="5"/>
      <c r="L147" s="5"/>
      <c r="M147" s="32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</row>
    <row r="148" ht="14.25" customHeight="1">
      <c r="B148" s="1"/>
      <c r="D148" s="1"/>
      <c r="E148" s="33"/>
      <c r="F148" s="34"/>
      <c r="G148" s="5"/>
      <c r="H148" s="5"/>
      <c r="I148" s="5"/>
      <c r="J148" s="5"/>
      <c r="K148" s="5"/>
      <c r="L148" s="5"/>
      <c r="M148" s="32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</row>
    <row r="149" ht="14.25" customHeight="1">
      <c r="B149" s="1"/>
      <c r="D149" s="1"/>
      <c r="E149" s="33"/>
      <c r="F149" s="34"/>
      <c r="G149" s="5"/>
      <c r="H149" s="5"/>
      <c r="I149" s="5"/>
      <c r="J149" s="5"/>
      <c r="K149" s="5"/>
      <c r="L149" s="5"/>
      <c r="M149" s="32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</row>
    <row r="150" ht="14.25" customHeight="1">
      <c r="B150" s="1"/>
      <c r="D150" s="1"/>
      <c r="E150" s="33"/>
      <c r="F150" s="34"/>
      <c r="G150" s="5"/>
      <c r="H150" s="5"/>
      <c r="I150" s="5"/>
      <c r="J150" s="5"/>
      <c r="K150" s="5"/>
      <c r="L150" s="5"/>
      <c r="M150" s="32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</row>
    <row r="151" ht="14.25" customHeight="1">
      <c r="B151" s="1"/>
      <c r="D151" s="1"/>
      <c r="E151" s="33"/>
      <c r="F151" s="34"/>
      <c r="G151" s="5"/>
      <c r="H151" s="5"/>
      <c r="I151" s="5"/>
      <c r="J151" s="5"/>
      <c r="K151" s="5"/>
      <c r="L151" s="5"/>
      <c r="M151" s="32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</row>
    <row r="152" ht="14.25" customHeight="1">
      <c r="B152" s="1"/>
      <c r="D152" s="1"/>
      <c r="E152" s="33"/>
      <c r="F152" s="34"/>
      <c r="G152" s="5"/>
      <c r="H152" s="5"/>
      <c r="I152" s="5"/>
      <c r="J152" s="5"/>
      <c r="K152" s="5"/>
      <c r="L152" s="5"/>
      <c r="M152" s="32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</row>
    <row r="153" ht="14.25" customHeight="1">
      <c r="B153" s="1"/>
      <c r="D153" s="1"/>
      <c r="E153" s="33"/>
      <c r="F153" s="34"/>
      <c r="G153" s="5"/>
      <c r="H153" s="5"/>
      <c r="I153" s="5"/>
      <c r="J153" s="5"/>
      <c r="K153" s="5"/>
      <c r="L153" s="5"/>
      <c r="M153" s="32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</row>
    <row r="154" ht="14.25" customHeight="1">
      <c r="B154" s="1"/>
      <c r="D154" s="1"/>
      <c r="E154" s="33"/>
      <c r="F154" s="34"/>
      <c r="G154" s="5"/>
      <c r="H154" s="5"/>
      <c r="I154" s="5"/>
      <c r="J154" s="5"/>
      <c r="K154" s="5"/>
      <c r="L154" s="5"/>
      <c r="M154" s="32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</row>
    <row r="155" ht="14.25" customHeight="1">
      <c r="B155" s="1"/>
      <c r="D155" s="1"/>
      <c r="E155" s="33"/>
      <c r="F155" s="34"/>
      <c r="G155" s="5"/>
      <c r="H155" s="5"/>
      <c r="I155" s="5"/>
      <c r="J155" s="5"/>
      <c r="K155" s="5"/>
      <c r="L155" s="5"/>
      <c r="M155" s="32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</row>
    <row r="156" ht="14.25" customHeight="1">
      <c r="B156" s="1"/>
      <c r="D156" s="1"/>
      <c r="E156" s="33"/>
      <c r="F156" s="34"/>
      <c r="G156" s="5"/>
      <c r="H156" s="5"/>
      <c r="I156" s="5"/>
      <c r="J156" s="5"/>
      <c r="K156" s="5"/>
      <c r="L156" s="5"/>
      <c r="M156" s="32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</row>
    <row r="157" ht="14.25" customHeight="1">
      <c r="B157" s="1"/>
      <c r="D157" s="1"/>
      <c r="E157" s="33"/>
      <c r="F157" s="34"/>
      <c r="G157" s="5"/>
      <c r="H157" s="5"/>
      <c r="I157" s="5"/>
      <c r="J157" s="5"/>
      <c r="K157" s="5"/>
      <c r="L157" s="5"/>
      <c r="M157" s="32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</row>
    <row r="158" ht="14.25" customHeight="1">
      <c r="B158" s="1"/>
      <c r="D158" s="1"/>
      <c r="E158" s="33"/>
      <c r="F158" s="34"/>
      <c r="G158" s="5"/>
      <c r="H158" s="5"/>
      <c r="I158" s="5"/>
      <c r="J158" s="5"/>
      <c r="K158" s="5"/>
      <c r="L158" s="5"/>
      <c r="M158" s="32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</row>
    <row r="159" ht="14.25" customHeight="1">
      <c r="B159" s="1"/>
      <c r="D159" s="1"/>
      <c r="E159" s="33"/>
      <c r="F159" s="34"/>
      <c r="G159" s="5"/>
      <c r="H159" s="5"/>
      <c r="I159" s="5"/>
      <c r="J159" s="5"/>
      <c r="K159" s="5"/>
      <c r="L159" s="5"/>
      <c r="M159" s="32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</row>
    <row r="160" ht="14.25" customHeight="1">
      <c r="B160" s="1"/>
      <c r="D160" s="1"/>
      <c r="E160" s="33"/>
      <c r="F160" s="34"/>
      <c r="G160" s="5"/>
      <c r="H160" s="5"/>
      <c r="I160" s="5"/>
      <c r="J160" s="5"/>
      <c r="K160" s="5"/>
      <c r="L160" s="5"/>
      <c r="M160" s="32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</row>
    <row r="161" ht="14.25" customHeight="1">
      <c r="B161" s="1"/>
      <c r="D161" s="1"/>
      <c r="E161" s="33"/>
      <c r="F161" s="34"/>
      <c r="G161" s="5"/>
      <c r="H161" s="5"/>
      <c r="I161" s="5"/>
      <c r="J161" s="5"/>
      <c r="K161" s="5"/>
      <c r="L161" s="5"/>
      <c r="M161" s="32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</row>
    <row r="162" ht="14.25" customHeight="1">
      <c r="B162" s="1"/>
      <c r="D162" s="1"/>
      <c r="E162" s="33"/>
      <c r="F162" s="34"/>
      <c r="G162" s="5"/>
      <c r="H162" s="5"/>
      <c r="I162" s="5"/>
      <c r="J162" s="5"/>
      <c r="K162" s="5"/>
      <c r="L162" s="5"/>
      <c r="M162" s="32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</row>
    <row r="163" ht="14.25" customHeight="1">
      <c r="B163" s="1"/>
      <c r="D163" s="1"/>
      <c r="E163" s="33"/>
      <c r="F163" s="34"/>
      <c r="G163" s="5"/>
      <c r="H163" s="5"/>
      <c r="I163" s="5"/>
      <c r="J163" s="5"/>
      <c r="K163" s="5"/>
      <c r="L163" s="5"/>
      <c r="M163" s="32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</row>
    <row r="164" ht="14.25" customHeight="1">
      <c r="B164" s="1"/>
      <c r="D164" s="1"/>
      <c r="E164" s="33"/>
      <c r="F164" s="34"/>
      <c r="G164" s="5"/>
      <c r="H164" s="5"/>
      <c r="I164" s="5"/>
      <c r="J164" s="5"/>
      <c r="K164" s="5"/>
      <c r="L164" s="5"/>
      <c r="M164" s="32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</row>
    <row r="165" ht="14.25" customHeight="1">
      <c r="B165" s="1"/>
      <c r="D165" s="1"/>
      <c r="E165" s="33"/>
      <c r="F165" s="34"/>
      <c r="G165" s="5"/>
      <c r="H165" s="5"/>
      <c r="I165" s="5"/>
      <c r="J165" s="5"/>
      <c r="K165" s="5"/>
      <c r="L165" s="5"/>
      <c r="M165" s="32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</row>
    <row r="166" ht="14.25" customHeight="1">
      <c r="B166" s="1"/>
      <c r="D166" s="1"/>
      <c r="E166" s="33"/>
      <c r="F166" s="34"/>
      <c r="G166" s="5"/>
      <c r="H166" s="5"/>
      <c r="I166" s="5"/>
      <c r="J166" s="5"/>
      <c r="K166" s="5"/>
      <c r="L166" s="5"/>
      <c r="M166" s="32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</row>
    <row r="167" ht="14.25" customHeight="1">
      <c r="B167" s="1"/>
      <c r="D167" s="1"/>
      <c r="E167" s="33"/>
      <c r="F167" s="34"/>
      <c r="G167" s="5"/>
      <c r="H167" s="5"/>
      <c r="I167" s="5"/>
      <c r="J167" s="5"/>
      <c r="K167" s="5"/>
      <c r="L167" s="5"/>
      <c r="M167" s="32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</row>
    <row r="168" ht="14.25" customHeight="1">
      <c r="B168" s="1"/>
      <c r="D168" s="1"/>
      <c r="E168" s="33"/>
      <c r="F168" s="34"/>
      <c r="G168" s="5"/>
      <c r="H168" s="5"/>
      <c r="I168" s="5"/>
      <c r="J168" s="5"/>
      <c r="K168" s="5"/>
      <c r="L168" s="5"/>
      <c r="M168" s="32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</row>
    <row r="169" ht="14.25" customHeight="1">
      <c r="B169" s="1"/>
      <c r="D169" s="1"/>
      <c r="E169" s="33"/>
      <c r="F169" s="34"/>
      <c r="G169" s="5"/>
      <c r="H169" s="5"/>
      <c r="I169" s="5"/>
      <c r="J169" s="5"/>
      <c r="K169" s="5"/>
      <c r="L169" s="5"/>
      <c r="M169" s="32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</row>
    <row r="170" ht="14.25" customHeight="1">
      <c r="B170" s="1"/>
      <c r="D170" s="1"/>
      <c r="E170" s="33"/>
      <c r="F170" s="34"/>
      <c r="G170" s="5"/>
      <c r="H170" s="5"/>
      <c r="I170" s="5"/>
      <c r="J170" s="5"/>
      <c r="K170" s="5"/>
      <c r="L170" s="5"/>
      <c r="M170" s="32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</row>
    <row r="171" ht="14.25" customHeight="1">
      <c r="B171" s="1"/>
      <c r="D171" s="1"/>
      <c r="E171" s="33"/>
      <c r="F171" s="34"/>
      <c r="G171" s="5"/>
      <c r="H171" s="5"/>
      <c r="I171" s="5"/>
      <c r="J171" s="5"/>
      <c r="K171" s="5"/>
      <c r="L171" s="5"/>
      <c r="M171" s="32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</row>
    <row r="172" ht="14.25" customHeight="1">
      <c r="B172" s="1"/>
      <c r="D172" s="1"/>
      <c r="E172" s="33"/>
      <c r="F172" s="34"/>
      <c r="G172" s="5"/>
      <c r="H172" s="5"/>
      <c r="I172" s="5"/>
      <c r="J172" s="5"/>
      <c r="K172" s="5"/>
      <c r="L172" s="5"/>
      <c r="M172" s="32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</row>
    <row r="173" ht="14.25" customHeight="1">
      <c r="B173" s="1"/>
      <c r="D173" s="1"/>
      <c r="E173" s="33"/>
      <c r="F173" s="34"/>
      <c r="G173" s="5"/>
      <c r="H173" s="5"/>
      <c r="I173" s="5"/>
      <c r="J173" s="5"/>
      <c r="K173" s="5"/>
      <c r="L173" s="5"/>
      <c r="M173" s="32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</row>
    <row r="174" ht="14.25" customHeight="1">
      <c r="B174" s="1"/>
      <c r="D174" s="1"/>
      <c r="E174" s="33"/>
      <c r="F174" s="34"/>
      <c r="G174" s="5"/>
      <c r="H174" s="5"/>
      <c r="I174" s="5"/>
      <c r="J174" s="5"/>
      <c r="K174" s="5"/>
      <c r="L174" s="5"/>
      <c r="M174" s="32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</row>
    <row r="175" ht="14.25" customHeight="1">
      <c r="B175" s="1"/>
      <c r="D175" s="1"/>
      <c r="E175" s="33"/>
      <c r="F175" s="34"/>
      <c r="G175" s="5"/>
      <c r="H175" s="5"/>
      <c r="I175" s="5"/>
      <c r="J175" s="5"/>
      <c r="K175" s="5"/>
      <c r="L175" s="5"/>
      <c r="M175" s="32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</row>
    <row r="176" ht="14.25" customHeight="1">
      <c r="B176" s="1"/>
      <c r="D176" s="1"/>
      <c r="E176" s="33"/>
      <c r="F176" s="34"/>
      <c r="G176" s="5"/>
      <c r="H176" s="5"/>
      <c r="I176" s="5"/>
      <c r="J176" s="5"/>
      <c r="K176" s="5"/>
      <c r="L176" s="5"/>
      <c r="M176" s="32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</row>
    <row r="177" ht="14.25" customHeight="1">
      <c r="B177" s="1"/>
      <c r="D177" s="1"/>
      <c r="E177" s="33"/>
      <c r="F177" s="34"/>
      <c r="G177" s="5"/>
      <c r="H177" s="5"/>
      <c r="I177" s="5"/>
      <c r="J177" s="5"/>
      <c r="K177" s="5"/>
      <c r="L177" s="5"/>
      <c r="M177" s="32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</row>
    <row r="178" ht="14.25" customHeight="1">
      <c r="B178" s="1"/>
      <c r="D178" s="1"/>
      <c r="E178" s="33"/>
      <c r="F178" s="34"/>
      <c r="G178" s="5"/>
      <c r="H178" s="5"/>
      <c r="I178" s="5"/>
      <c r="J178" s="5"/>
      <c r="K178" s="5"/>
      <c r="L178" s="5"/>
      <c r="M178" s="32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</row>
    <row r="179" ht="14.25" customHeight="1">
      <c r="B179" s="1"/>
      <c r="D179" s="1"/>
      <c r="E179" s="33"/>
      <c r="F179" s="34"/>
      <c r="G179" s="5"/>
      <c r="H179" s="5"/>
      <c r="I179" s="5"/>
      <c r="J179" s="5"/>
      <c r="K179" s="5"/>
      <c r="L179" s="5"/>
      <c r="M179" s="32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</row>
    <row r="180" ht="14.25" customHeight="1">
      <c r="B180" s="1"/>
      <c r="D180" s="1"/>
      <c r="E180" s="33"/>
      <c r="F180" s="34"/>
      <c r="G180" s="5"/>
      <c r="H180" s="5"/>
      <c r="I180" s="5"/>
      <c r="J180" s="5"/>
      <c r="K180" s="5"/>
      <c r="L180" s="5"/>
      <c r="M180" s="32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</row>
    <row r="181" ht="14.25" customHeight="1">
      <c r="B181" s="1"/>
      <c r="D181" s="1"/>
      <c r="E181" s="33"/>
      <c r="F181" s="34"/>
      <c r="G181" s="5"/>
      <c r="H181" s="5"/>
      <c r="I181" s="5"/>
      <c r="J181" s="5"/>
      <c r="K181" s="5"/>
      <c r="L181" s="5"/>
      <c r="M181" s="32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</row>
    <row r="182" ht="14.25" customHeight="1">
      <c r="B182" s="1"/>
      <c r="D182" s="1"/>
      <c r="E182" s="33"/>
      <c r="F182" s="34"/>
      <c r="G182" s="5"/>
      <c r="H182" s="5"/>
      <c r="I182" s="5"/>
      <c r="J182" s="5"/>
      <c r="K182" s="5"/>
      <c r="L182" s="5"/>
      <c r="M182" s="32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</row>
    <row r="183" ht="14.25" customHeight="1">
      <c r="B183" s="1"/>
      <c r="D183" s="1"/>
      <c r="E183" s="33"/>
      <c r="F183" s="34"/>
      <c r="G183" s="5"/>
      <c r="H183" s="5"/>
      <c r="I183" s="5"/>
      <c r="J183" s="5"/>
      <c r="K183" s="5"/>
      <c r="L183" s="5"/>
      <c r="M183" s="32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</row>
    <row r="184" ht="14.25" customHeight="1">
      <c r="B184" s="1"/>
      <c r="D184" s="1"/>
      <c r="E184" s="33"/>
      <c r="F184" s="34"/>
      <c r="G184" s="5"/>
      <c r="H184" s="5"/>
      <c r="I184" s="5"/>
      <c r="J184" s="5"/>
      <c r="K184" s="5"/>
      <c r="L184" s="5"/>
      <c r="M184" s="32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</row>
    <row r="185" ht="14.25" customHeight="1">
      <c r="B185" s="1"/>
      <c r="D185" s="1"/>
      <c r="E185" s="33"/>
      <c r="F185" s="34"/>
      <c r="G185" s="5"/>
      <c r="H185" s="5"/>
      <c r="I185" s="5"/>
      <c r="J185" s="5"/>
      <c r="K185" s="5"/>
      <c r="L185" s="5"/>
      <c r="M185" s="32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</row>
    <row r="186" ht="14.25" customHeight="1">
      <c r="B186" s="1"/>
      <c r="D186" s="1"/>
      <c r="E186" s="33"/>
      <c r="F186" s="34"/>
      <c r="G186" s="5"/>
      <c r="H186" s="5"/>
      <c r="I186" s="5"/>
      <c r="J186" s="5"/>
      <c r="K186" s="5"/>
      <c r="L186" s="5"/>
      <c r="M186" s="32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</row>
    <row r="187" ht="14.25" customHeight="1">
      <c r="B187" s="1"/>
      <c r="D187" s="1"/>
      <c r="E187" s="33"/>
      <c r="F187" s="34"/>
      <c r="G187" s="5"/>
      <c r="H187" s="5"/>
      <c r="I187" s="5"/>
      <c r="J187" s="5"/>
      <c r="K187" s="5"/>
      <c r="L187" s="5"/>
      <c r="M187" s="32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</row>
    <row r="188" ht="14.25" customHeight="1">
      <c r="B188" s="1"/>
      <c r="D188" s="1"/>
      <c r="E188" s="33"/>
      <c r="F188" s="34"/>
      <c r="G188" s="5"/>
      <c r="H188" s="5"/>
      <c r="I188" s="5"/>
      <c r="J188" s="5"/>
      <c r="K188" s="5"/>
      <c r="L188" s="5"/>
      <c r="M188" s="32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</row>
    <row r="189" ht="14.25" customHeight="1">
      <c r="B189" s="1"/>
      <c r="D189" s="1"/>
      <c r="E189" s="33"/>
      <c r="F189" s="34"/>
      <c r="G189" s="5"/>
      <c r="H189" s="5"/>
      <c r="I189" s="5"/>
      <c r="J189" s="5"/>
      <c r="K189" s="5"/>
      <c r="L189" s="5"/>
      <c r="M189" s="32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</row>
    <row r="190" ht="14.25" customHeight="1">
      <c r="B190" s="1"/>
      <c r="D190" s="1"/>
      <c r="E190" s="33"/>
      <c r="F190" s="34"/>
      <c r="G190" s="5"/>
      <c r="H190" s="5"/>
      <c r="I190" s="5"/>
      <c r="J190" s="5"/>
      <c r="K190" s="5"/>
      <c r="L190" s="5"/>
      <c r="M190" s="32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</row>
    <row r="191" ht="14.25" customHeight="1">
      <c r="B191" s="1"/>
      <c r="D191" s="1"/>
      <c r="E191" s="33"/>
      <c r="F191" s="34"/>
      <c r="G191" s="5"/>
      <c r="H191" s="5"/>
      <c r="I191" s="5"/>
      <c r="J191" s="5"/>
      <c r="K191" s="5"/>
      <c r="L191" s="5"/>
      <c r="M191" s="32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</row>
    <row r="192" ht="14.25" customHeight="1">
      <c r="B192" s="1"/>
      <c r="D192" s="1"/>
      <c r="E192" s="33"/>
      <c r="F192" s="34"/>
      <c r="G192" s="5"/>
      <c r="H192" s="5"/>
      <c r="I192" s="5"/>
      <c r="J192" s="5"/>
      <c r="K192" s="5"/>
      <c r="L192" s="5"/>
      <c r="M192" s="32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</row>
    <row r="193" ht="14.25" customHeight="1">
      <c r="B193" s="1"/>
      <c r="D193" s="1"/>
      <c r="E193" s="33"/>
      <c r="F193" s="34"/>
      <c r="G193" s="5"/>
      <c r="H193" s="5"/>
      <c r="I193" s="5"/>
      <c r="J193" s="5"/>
      <c r="K193" s="5"/>
      <c r="L193" s="5"/>
      <c r="M193" s="32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</row>
    <row r="194" ht="14.25" customHeight="1">
      <c r="B194" s="1"/>
      <c r="D194" s="1"/>
      <c r="E194" s="33"/>
      <c r="F194" s="34"/>
      <c r="G194" s="5"/>
      <c r="H194" s="5"/>
      <c r="I194" s="5"/>
      <c r="J194" s="5"/>
      <c r="K194" s="5"/>
      <c r="L194" s="5"/>
      <c r="M194" s="32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</row>
    <row r="195" ht="14.25" customHeight="1">
      <c r="B195" s="1"/>
      <c r="D195" s="1"/>
      <c r="E195" s="33"/>
      <c r="F195" s="34"/>
      <c r="G195" s="5"/>
      <c r="H195" s="5"/>
      <c r="I195" s="5"/>
      <c r="J195" s="5"/>
      <c r="K195" s="5"/>
      <c r="L195" s="5"/>
      <c r="M195" s="32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</row>
    <row r="196" ht="14.25" customHeight="1">
      <c r="B196" s="1"/>
      <c r="D196" s="1"/>
      <c r="E196" s="33"/>
      <c r="F196" s="34"/>
      <c r="G196" s="5"/>
      <c r="H196" s="5"/>
      <c r="I196" s="5"/>
      <c r="J196" s="5"/>
      <c r="K196" s="5"/>
      <c r="L196" s="5"/>
      <c r="M196" s="32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</row>
    <row r="197" ht="14.25" customHeight="1">
      <c r="B197" s="1"/>
      <c r="D197" s="1"/>
      <c r="E197" s="33"/>
      <c r="F197" s="34"/>
      <c r="G197" s="5"/>
      <c r="H197" s="5"/>
      <c r="I197" s="5"/>
      <c r="J197" s="5"/>
      <c r="K197" s="5"/>
      <c r="L197" s="5"/>
      <c r="M197" s="32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</row>
    <row r="198" ht="14.25" customHeight="1">
      <c r="B198" s="1"/>
      <c r="D198" s="1"/>
      <c r="E198" s="33"/>
      <c r="F198" s="34"/>
      <c r="G198" s="5"/>
      <c r="H198" s="5"/>
      <c r="I198" s="5"/>
      <c r="J198" s="5"/>
      <c r="K198" s="5"/>
      <c r="L198" s="5"/>
      <c r="M198" s="32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</row>
    <row r="199" ht="14.25" customHeight="1">
      <c r="B199" s="1"/>
      <c r="D199" s="1"/>
      <c r="E199" s="33"/>
      <c r="F199" s="34"/>
      <c r="G199" s="5"/>
      <c r="H199" s="5"/>
      <c r="I199" s="5"/>
      <c r="J199" s="5"/>
      <c r="K199" s="5"/>
      <c r="L199" s="5"/>
      <c r="M199" s="32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</row>
    <row r="200" ht="14.25" customHeight="1">
      <c r="B200" s="1"/>
      <c r="D200" s="1"/>
      <c r="E200" s="33"/>
      <c r="F200" s="34"/>
      <c r="G200" s="5"/>
      <c r="H200" s="5"/>
      <c r="I200" s="5"/>
      <c r="J200" s="5"/>
      <c r="K200" s="5"/>
      <c r="L200" s="5"/>
      <c r="M200" s="32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</row>
    <row r="201" ht="14.25" customHeight="1">
      <c r="B201" s="1"/>
      <c r="D201" s="1"/>
      <c r="E201" s="33"/>
      <c r="F201" s="34"/>
      <c r="G201" s="5"/>
      <c r="H201" s="5"/>
      <c r="I201" s="5"/>
      <c r="J201" s="5"/>
      <c r="K201" s="5"/>
      <c r="L201" s="5"/>
      <c r="M201" s="32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</row>
    <row r="202" ht="14.25" customHeight="1">
      <c r="B202" s="1"/>
      <c r="D202" s="1"/>
      <c r="E202" s="33"/>
      <c r="F202" s="34"/>
      <c r="G202" s="5"/>
      <c r="H202" s="5"/>
      <c r="I202" s="5"/>
      <c r="J202" s="5"/>
      <c r="K202" s="5"/>
      <c r="L202" s="5"/>
      <c r="M202" s="32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</row>
    <row r="203" ht="14.25" customHeight="1">
      <c r="B203" s="1"/>
      <c r="D203" s="1"/>
      <c r="E203" s="33"/>
      <c r="F203" s="34"/>
      <c r="G203" s="5"/>
      <c r="H203" s="5"/>
      <c r="I203" s="5"/>
      <c r="J203" s="5"/>
      <c r="K203" s="5"/>
      <c r="L203" s="5"/>
      <c r="M203" s="32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</row>
    <row r="204" ht="14.25" customHeight="1">
      <c r="B204" s="1"/>
      <c r="D204" s="1"/>
      <c r="E204" s="33"/>
      <c r="F204" s="34"/>
      <c r="G204" s="5"/>
      <c r="H204" s="5"/>
      <c r="I204" s="5"/>
      <c r="J204" s="5"/>
      <c r="K204" s="5"/>
      <c r="L204" s="5"/>
      <c r="M204" s="32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</row>
    <row r="205" ht="14.25" customHeight="1">
      <c r="B205" s="1"/>
      <c r="D205" s="1"/>
      <c r="E205" s="33"/>
      <c r="F205" s="34"/>
      <c r="G205" s="5"/>
      <c r="H205" s="5"/>
      <c r="I205" s="5"/>
      <c r="J205" s="5"/>
      <c r="K205" s="5"/>
      <c r="L205" s="5"/>
      <c r="M205" s="32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</row>
    <row r="206" ht="14.25" customHeight="1">
      <c r="B206" s="1"/>
      <c r="D206" s="1"/>
      <c r="E206" s="33"/>
      <c r="F206" s="34"/>
      <c r="G206" s="5"/>
      <c r="H206" s="5"/>
      <c r="I206" s="5"/>
      <c r="J206" s="5"/>
      <c r="K206" s="5"/>
      <c r="L206" s="5"/>
      <c r="M206" s="32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</row>
    <row r="207" ht="14.25" customHeight="1">
      <c r="B207" s="1"/>
      <c r="D207" s="1"/>
      <c r="E207" s="33"/>
      <c r="F207" s="34"/>
      <c r="G207" s="5"/>
      <c r="H207" s="5"/>
      <c r="I207" s="5"/>
      <c r="J207" s="5"/>
      <c r="K207" s="5"/>
      <c r="L207" s="5"/>
      <c r="M207" s="32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</row>
    <row r="208" ht="14.25" customHeight="1">
      <c r="B208" s="1"/>
      <c r="D208" s="1"/>
      <c r="E208" s="33"/>
      <c r="F208" s="34"/>
      <c r="G208" s="5"/>
      <c r="H208" s="5"/>
      <c r="I208" s="5"/>
      <c r="J208" s="5"/>
      <c r="K208" s="5"/>
      <c r="L208" s="5"/>
      <c r="M208" s="32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</row>
    <row r="209" ht="14.25" customHeight="1">
      <c r="B209" s="1"/>
      <c r="D209" s="1"/>
      <c r="E209" s="33"/>
      <c r="F209" s="34"/>
      <c r="G209" s="5"/>
      <c r="H209" s="5"/>
      <c r="I209" s="5"/>
      <c r="J209" s="5"/>
      <c r="K209" s="5"/>
      <c r="L209" s="5"/>
      <c r="M209" s="32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</row>
    <row r="210" ht="14.25" customHeight="1">
      <c r="B210" s="1"/>
      <c r="D210" s="1"/>
      <c r="E210" s="33"/>
      <c r="F210" s="34"/>
      <c r="G210" s="5"/>
      <c r="H210" s="5"/>
      <c r="I210" s="5"/>
      <c r="J210" s="5"/>
      <c r="K210" s="5"/>
      <c r="L210" s="5"/>
      <c r="M210" s="32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</row>
    <row r="211" ht="14.25" customHeight="1">
      <c r="B211" s="1"/>
      <c r="D211" s="1"/>
      <c r="E211" s="33"/>
      <c r="F211" s="34"/>
      <c r="G211" s="5"/>
      <c r="H211" s="5"/>
      <c r="I211" s="5"/>
      <c r="J211" s="5"/>
      <c r="K211" s="5"/>
      <c r="L211" s="5"/>
      <c r="M211" s="32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</row>
    <row r="212" ht="14.25" customHeight="1">
      <c r="B212" s="1"/>
      <c r="D212" s="1"/>
      <c r="E212" s="33"/>
      <c r="F212" s="34"/>
      <c r="G212" s="5"/>
      <c r="H212" s="5"/>
      <c r="I212" s="5"/>
      <c r="J212" s="5"/>
      <c r="K212" s="5"/>
      <c r="L212" s="5"/>
      <c r="M212" s="32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</row>
    <row r="213" ht="14.25" customHeight="1">
      <c r="B213" s="1"/>
      <c r="D213" s="1"/>
      <c r="E213" s="33"/>
      <c r="F213" s="34"/>
      <c r="G213" s="5"/>
      <c r="H213" s="5"/>
      <c r="I213" s="5"/>
      <c r="J213" s="5"/>
      <c r="K213" s="5"/>
      <c r="L213" s="5"/>
      <c r="M213" s="32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</row>
    <row r="214" ht="14.25" customHeight="1">
      <c r="B214" s="1"/>
      <c r="D214" s="1"/>
      <c r="E214" s="33"/>
      <c r="F214" s="34"/>
      <c r="G214" s="5"/>
      <c r="H214" s="5"/>
      <c r="I214" s="5"/>
      <c r="J214" s="5"/>
      <c r="K214" s="5"/>
      <c r="L214" s="5"/>
      <c r="M214" s="32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</row>
    <row r="215" ht="14.25" customHeight="1">
      <c r="B215" s="1"/>
      <c r="D215" s="1"/>
      <c r="E215" s="33"/>
      <c r="F215" s="34"/>
      <c r="G215" s="5"/>
      <c r="H215" s="5"/>
      <c r="I215" s="5"/>
      <c r="J215" s="5"/>
      <c r="K215" s="5"/>
      <c r="L215" s="5"/>
      <c r="M215" s="32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</row>
    <row r="216" ht="14.25" customHeight="1">
      <c r="B216" s="1"/>
      <c r="D216" s="1"/>
      <c r="E216" s="33"/>
      <c r="F216" s="34"/>
      <c r="G216" s="5"/>
      <c r="H216" s="5"/>
      <c r="I216" s="5"/>
      <c r="J216" s="5"/>
      <c r="K216" s="5"/>
      <c r="L216" s="5"/>
      <c r="M216" s="32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</row>
    <row r="217" ht="14.25" customHeight="1">
      <c r="B217" s="1"/>
      <c r="D217" s="1"/>
      <c r="E217" s="33"/>
      <c r="F217" s="34"/>
      <c r="G217" s="5"/>
      <c r="H217" s="5"/>
      <c r="I217" s="5"/>
      <c r="J217" s="5"/>
      <c r="K217" s="5"/>
      <c r="L217" s="5"/>
      <c r="M217" s="32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</row>
    <row r="218" ht="14.25" customHeight="1">
      <c r="B218" s="1"/>
      <c r="D218" s="1"/>
      <c r="E218" s="33"/>
      <c r="F218" s="34"/>
      <c r="G218" s="5"/>
      <c r="H218" s="5"/>
      <c r="I218" s="5"/>
      <c r="J218" s="5"/>
      <c r="K218" s="5"/>
      <c r="L218" s="5"/>
      <c r="M218" s="32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</row>
    <row r="219" ht="14.25" customHeight="1">
      <c r="B219" s="1"/>
      <c r="D219" s="1"/>
      <c r="E219" s="33"/>
      <c r="F219" s="34"/>
      <c r="G219" s="5"/>
      <c r="H219" s="5"/>
      <c r="I219" s="5"/>
      <c r="J219" s="5"/>
      <c r="K219" s="5"/>
      <c r="L219" s="5"/>
      <c r="M219" s="32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</row>
    <row r="220" ht="14.25" customHeight="1">
      <c r="B220" s="1"/>
      <c r="D220" s="1"/>
      <c r="E220" s="33"/>
      <c r="F220" s="34"/>
      <c r="G220" s="5"/>
      <c r="H220" s="5"/>
      <c r="I220" s="5"/>
      <c r="J220" s="5"/>
      <c r="K220" s="5"/>
      <c r="L220" s="5"/>
      <c r="M220" s="32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</row>
    <row r="221" ht="14.25" customHeight="1">
      <c r="B221" s="1"/>
      <c r="D221" s="1"/>
      <c r="E221" s="33"/>
      <c r="F221" s="34"/>
      <c r="G221" s="5"/>
      <c r="H221" s="5"/>
      <c r="I221" s="5"/>
      <c r="J221" s="5"/>
      <c r="K221" s="5"/>
      <c r="L221" s="5"/>
      <c r="M221" s="32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</row>
    <row r="222" ht="14.25" customHeight="1">
      <c r="B222" s="1"/>
      <c r="D222" s="1"/>
      <c r="E222" s="33"/>
      <c r="F222" s="34"/>
      <c r="G222" s="5"/>
      <c r="H222" s="5"/>
      <c r="I222" s="5"/>
      <c r="J222" s="5"/>
      <c r="K222" s="5"/>
      <c r="L222" s="5"/>
      <c r="M222" s="32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</row>
    <row r="223" ht="14.25" customHeight="1">
      <c r="B223" s="1"/>
      <c r="D223" s="1"/>
      <c r="E223" s="33"/>
      <c r="F223" s="34"/>
      <c r="G223" s="5"/>
      <c r="H223" s="5"/>
      <c r="I223" s="5"/>
      <c r="J223" s="5"/>
      <c r="K223" s="5"/>
      <c r="L223" s="5"/>
      <c r="M223" s="32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</row>
    <row r="224" ht="14.25" customHeight="1">
      <c r="B224" s="1"/>
      <c r="D224" s="1"/>
      <c r="E224" s="33"/>
      <c r="F224" s="34"/>
      <c r="G224" s="5"/>
      <c r="H224" s="5"/>
      <c r="I224" s="5"/>
      <c r="J224" s="5"/>
      <c r="K224" s="5"/>
      <c r="L224" s="5"/>
      <c r="M224" s="32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</row>
    <row r="225" ht="14.25" customHeight="1">
      <c r="B225" s="1"/>
      <c r="D225" s="1"/>
      <c r="E225" s="33"/>
      <c r="F225" s="34"/>
      <c r="G225" s="5"/>
      <c r="H225" s="5"/>
      <c r="I225" s="5"/>
      <c r="J225" s="5"/>
      <c r="K225" s="5"/>
      <c r="L225" s="5"/>
      <c r="M225" s="32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</row>
    <row r="226" ht="14.25" customHeight="1">
      <c r="B226" s="1"/>
      <c r="D226" s="1"/>
      <c r="E226" s="33"/>
      <c r="F226" s="34"/>
      <c r="G226" s="5"/>
      <c r="H226" s="5"/>
      <c r="I226" s="5"/>
      <c r="J226" s="5"/>
      <c r="K226" s="5"/>
      <c r="L226" s="5"/>
      <c r="M226" s="32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</row>
    <row r="227" ht="14.25" customHeight="1">
      <c r="B227" s="1"/>
      <c r="D227" s="1"/>
      <c r="E227" s="33"/>
      <c r="F227" s="34"/>
      <c r="G227" s="5"/>
      <c r="H227" s="5"/>
      <c r="I227" s="5"/>
      <c r="J227" s="5"/>
      <c r="K227" s="5"/>
      <c r="L227" s="5"/>
      <c r="M227" s="32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</row>
    <row r="228" ht="14.25" customHeight="1">
      <c r="B228" s="1"/>
      <c r="D228" s="1"/>
      <c r="E228" s="33"/>
      <c r="F228" s="34"/>
      <c r="G228" s="5"/>
      <c r="H228" s="5"/>
      <c r="I228" s="5"/>
      <c r="J228" s="5"/>
      <c r="K228" s="5"/>
      <c r="L228" s="5"/>
      <c r="M228" s="32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</row>
    <row r="229" ht="14.25" customHeight="1">
      <c r="B229" s="1"/>
      <c r="D229" s="1"/>
      <c r="E229" s="33"/>
      <c r="F229" s="34"/>
      <c r="G229" s="5"/>
      <c r="H229" s="5"/>
      <c r="I229" s="5"/>
      <c r="J229" s="5"/>
      <c r="K229" s="5"/>
      <c r="L229" s="5"/>
      <c r="M229" s="32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</row>
    <row r="230" ht="14.25" customHeight="1">
      <c r="B230" s="1"/>
      <c r="D230" s="1"/>
      <c r="E230" s="33"/>
      <c r="F230" s="34"/>
      <c r="G230" s="5"/>
      <c r="H230" s="5"/>
      <c r="I230" s="5"/>
      <c r="J230" s="5"/>
      <c r="K230" s="5"/>
      <c r="L230" s="5"/>
      <c r="M230" s="32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</row>
    <row r="231" ht="14.25" customHeight="1">
      <c r="B231" s="1"/>
      <c r="D231" s="1"/>
      <c r="E231" s="33"/>
      <c r="F231" s="34"/>
      <c r="G231" s="5"/>
      <c r="H231" s="5"/>
      <c r="I231" s="5"/>
      <c r="J231" s="5"/>
      <c r="K231" s="5"/>
      <c r="L231" s="5"/>
      <c r="M231" s="32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</row>
    <row r="232" ht="14.25" customHeight="1">
      <c r="B232" s="1"/>
      <c r="D232" s="1"/>
      <c r="E232" s="33"/>
      <c r="F232" s="34"/>
      <c r="G232" s="5"/>
      <c r="H232" s="5"/>
      <c r="I232" s="5"/>
      <c r="J232" s="5"/>
      <c r="K232" s="5"/>
      <c r="L232" s="5"/>
      <c r="M232" s="32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</row>
    <row r="233" ht="14.25" customHeight="1">
      <c r="B233" s="1"/>
      <c r="D233" s="1"/>
      <c r="E233" s="33"/>
      <c r="F233" s="34"/>
      <c r="G233" s="5"/>
      <c r="H233" s="5"/>
      <c r="I233" s="5"/>
      <c r="J233" s="5"/>
      <c r="K233" s="5"/>
      <c r="L233" s="5"/>
      <c r="M233" s="32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</row>
    <row r="234" ht="14.25" customHeight="1">
      <c r="B234" s="1"/>
      <c r="D234" s="1"/>
      <c r="E234" s="33"/>
      <c r="F234" s="34"/>
      <c r="G234" s="5"/>
      <c r="H234" s="5"/>
      <c r="I234" s="5"/>
      <c r="J234" s="5"/>
      <c r="K234" s="5"/>
      <c r="L234" s="5"/>
      <c r="M234" s="32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</row>
    <row r="235" ht="14.25" customHeight="1">
      <c r="B235" s="1"/>
      <c r="D235" s="1"/>
      <c r="E235" s="33"/>
      <c r="F235" s="34"/>
      <c r="G235" s="5"/>
      <c r="H235" s="5"/>
      <c r="I235" s="5"/>
      <c r="J235" s="5"/>
      <c r="K235" s="5"/>
      <c r="L235" s="5"/>
      <c r="M235" s="32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</row>
    <row r="236" ht="14.25" customHeight="1">
      <c r="B236" s="1"/>
      <c r="D236" s="1"/>
      <c r="E236" s="33"/>
      <c r="F236" s="34"/>
      <c r="G236" s="5"/>
      <c r="H236" s="5"/>
      <c r="I236" s="5"/>
      <c r="J236" s="5"/>
      <c r="K236" s="5"/>
      <c r="L236" s="5"/>
      <c r="M236" s="32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</row>
    <row r="237" ht="14.25" customHeight="1">
      <c r="B237" s="1"/>
      <c r="D237" s="1"/>
      <c r="E237" s="33"/>
      <c r="F237" s="34"/>
      <c r="G237" s="5"/>
      <c r="H237" s="5"/>
      <c r="I237" s="5"/>
      <c r="J237" s="5"/>
      <c r="K237" s="5"/>
      <c r="L237" s="5"/>
      <c r="M237" s="32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</row>
    <row r="238" ht="14.25" customHeight="1">
      <c r="B238" s="1"/>
      <c r="D238" s="1"/>
      <c r="E238" s="33"/>
      <c r="F238" s="34"/>
      <c r="G238" s="5"/>
      <c r="H238" s="5"/>
      <c r="I238" s="5"/>
      <c r="J238" s="5"/>
      <c r="K238" s="5"/>
      <c r="L238" s="5"/>
      <c r="M238" s="32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</row>
    <row r="239" ht="14.25" customHeight="1">
      <c r="B239" s="1"/>
      <c r="D239" s="1"/>
      <c r="E239" s="33"/>
      <c r="F239" s="34"/>
      <c r="G239" s="5"/>
      <c r="H239" s="5"/>
      <c r="I239" s="5"/>
      <c r="J239" s="5"/>
      <c r="K239" s="5"/>
      <c r="L239" s="5"/>
      <c r="M239" s="32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</row>
    <row r="240" ht="14.25" customHeight="1">
      <c r="B240" s="1"/>
      <c r="D240" s="1"/>
      <c r="E240" s="33"/>
      <c r="F240" s="34"/>
      <c r="G240" s="5"/>
      <c r="H240" s="5"/>
      <c r="I240" s="5"/>
      <c r="J240" s="5"/>
      <c r="K240" s="5"/>
      <c r="L240" s="5"/>
      <c r="M240" s="32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</row>
    <row r="241" ht="14.25" customHeight="1">
      <c r="B241" s="1"/>
      <c r="D241" s="1"/>
      <c r="E241" s="33"/>
      <c r="F241" s="34"/>
      <c r="G241" s="5"/>
      <c r="H241" s="5"/>
      <c r="I241" s="5"/>
      <c r="J241" s="5"/>
      <c r="K241" s="5"/>
      <c r="L241" s="5"/>
      <c r="M241" s="32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</row>
    <row r="242" ht="14.25" customHeight="1">
      <c r="B242" s="1"/>
      <c r="D242" s="1"/>
      <c r="E242" s="33"/>
      <c r="F242" s="34"/>
      <c r="G242" s="5"/>
      <c r="H242" s="5"/>
      <c r="I242" s="5"/>
      <c r="J242" s="5"/>
      <c r="K242" s="5"/>
      <c r="L242" s="5"/>
      <c r="M242" s="32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</row>
    <row r="243" ht="14.25" customHeight="1">
      <c r="B243" s="1"/>
      <c r="D243" s="1"/>
      <c r="E243" s="33"/>
      <c r="F243" s="34"/>
      <c r="G243" s="5"/>
      <c r="H243" s="5"/>
      <c r="I243" s="5"/>
      <c r="J243" s="5"/>
      <c r="K243" s="5"/>
      <c r="L243" s="5"/>
      <c r="M243" s="32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</row>
    <row r="244" ht="14.25" customHeight="1">
      <c r="B244" s="1"/>
      <c r="D244" s="1"/>
      <c r="E244" s="33"/>
      <c r="F244" s="34"/>
      <c r="G244" s="5"/>
      <c r="H244" s="5"/>
      <c r="I244" s="5"/>
      <c r="J244" s="5"/>
      <c r="K244" s="5"/>
      <c r="L244" s="5"/>
      <c r="M244" s="32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</row>
    <row r="245" ht="14.25" customHeight="1">
      <c r="B245" s="1"/>
      <c r="D245" s="1"/>
      <c r="E245" s="33"/>
      <c r="F245" s="34"/>
      <c r="G245" s="5"/>
      <c r="H245" s="5"/>
      <c r="I245" s="5"/>
      <c r="J245" s="5"/>
      <c r="K245" s="5"/>
      <c r="L245" s="5"/>
      <c r="M245" s="32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</row>
    <row r="246" ht="14.25" customHeight="1">
      <c r="B246" s="1"/>
      <c r="D246" s="1"/>
      <c r="E246" s="33"/>
      <c r="F246" s="34"/>
      <c r="G246" s="5"/>
      <c r="H246" s="5"/>
      <c r="I246" s="5"/>
      <c r="J246" s="5"/>
      <c r="K246" s="5"/>
      <c r="L246" s="5"/>
      <c r="M246" s="32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</row>
    <row r="247" ht="14.25" customHeight="1">
      <c r="B247" s="1"/>
      <c r="D247" s="1"/>
      <c r="E247" s="33"/>
      <c r="F247" s="34"/>
      <c r="G247" s="5"/>
      <c r="H247" s="5"/>
      <c r="I247" s="5"/>
      <c r="J247" s="5"/>
      <c r="K247" s="5"/>
      <c r="L247" s="5"/>
      <c r="M247" s="32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</row>
    <row r="248" ht="14.25" customHeight="1">
      <c r="B248" s="1"/>
      <c r="D248" s="1"/>
      <c r="E248" s="33"/>
      <c r="F248" s="34"/>
      <c r="G248" s="5"/>
      <c r="H248" s="5"/>
      <c r="I248" s="5"/>
      <c r="J248" s="5"/>
      <c r="K248" s="5"/>
      <c r="L248" s="5"/>
      <c r="M248" s="32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</row>
    <row r="249" ht="14.25" customHeight="1">
      <c r="B249" s="1"/>
      <c r="D249" s="1"/>
      <c r="E249" s="33"/>
      <c r="F249" s="34"/>
      <c r="G249" s="5"/>
      <c r="H249" s="5"/>
      <c r="I249" s="5"/>
      <c r="J249" s="5"/>
      <c r="K249" s="5"/>
      <c r="L249" s="5"/>
      <c r="M249" s="32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</row>
    <row r="250" ht="14.25" customHeight="1">
      <c r="B250" s="1"/>
      <c r="D250" s="1"/>
      <c r="E250" s="33"/>
      <c r="F250" s="34"/>
      <c r="G250" s="5"/>
      <c r="H250" s="5"/>
      <c r="I250" s="5"/>
      <c r="J250" s="5"/>
      <c r="K250" s="5"/>
      <c r="L250" s="5"/>
      <c r="M250" s="32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</row>
    <row r="251" ht="14.25" customHeight="1">
      <c r="B251" s="1"/>
      <c r="D251" s="1"/>
      <c r="E251" s="33"/>
      <c r="F251" s="34"/>
      <c r="G251" s="5"/>
      <c r="H251" s="5"/>
      <c r="I251" s="5"/>
      <c r="J251" s="5"/>
      <c r="K251" s="5"/>
      <c r="L251" s="5"/>
      <c r="M251" s="32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</row>
    <row r="252" ht="14.25" customHeight="1">
      <c r="B252" s="1"/>
      <c r="D252" s="1"/>
      <c r="E252" s="33"/>
      <c r="F252" s="34"/>
      <c r="G252" s="5"/>
      <c r="H252" s="5"/>
      <c r="I252" s="5"/>
      <c r="J252" s="5"/>
      <c r="K252" s="5"/>
      <c r="L252" s="5"/>
      <c r="M252" s="32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</row>
    <row r="253" ht="14.25" customHeight="1">
      <c r="B253" s="1"/>
      <c r="D253" s="1"/>
      <c r="E253" s="33"/>
      <c r="F253" s="34"/>
      <c r="G253" s="5"/>
      <c r="H253" s="5"/>
      <c r="I253" s="5"/>
      <c r="J253" s="5"/>
      <c r="K253" s="5"/>
      <c r="L253" s="5"/>
      <c r="M253" s="32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</row>
    <row r="254" ht="14.25" customHeight="1">
      <c r="B254" s="1"/>
      <c r="D254" s="1"/>
      <c r="E254" s="33"/>
      <c r="F254" s="34"/>
      <c r="G254" s="5"/>
      <c r="H254" s="5"/>
      <c r="I254" s="5"/>
      <c r="J254" s="5"/>
      <c r="K254" s="5"/>
      <c r="L254" s="5"/>
      <c r="M254" s="32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</row>
    <row r="255" ht="14.25" customHeight="1">
      <c r="B255" s="1"/>
      <c r="D255" s="1"/>
      <c r="E255" s="33"/>
      <c r="F255" s="34"/>
      <c r="G255" s="5"/>
      <c r="H255" s="5"/>
      <c r="I255" s="5"/>
      <c r="J255" s="5"/>
      <c r="K255" s="5"/>
      <c r="L255" s="5"/>
      <c r="M255" s="32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</row>
    <row r="256" ht="14.25" customHeight="1">
      <c r="B256" s="1"/>
      <c r="D256" s="1"/>
      <c r="E256" s="33"/>
      <c r="F256" s="34"/>
      <c r="G256" s="5"/>
      <c r="H256" s="5"/>
      <c r="I256" s="5"/>
      <c r="J256" s="5"/>
      <c r="K256" s="5"/>
      <c r="L256" s="5"/>
      <c r="M256" s="32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</row>
    <row r="257" ht="14.25" customHeight="1">
      <c r="B257" s="1"/>
      <c r="D257" s="1"/>
      <c r="E257" s="33"/>
      <c r="F257" s="34"/>
      <c r="G257" s="5"/>
      <c r="H257" s="5"/>
      <c r="I257" s="5"/>
      <c r="J257" s="5"/>
      <c r="K257" s="5"/>
      <c r="L257" s="5"/>
      <c r="M257" s="32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</row>
    <row r="258" ht="14.25" customHeight="1">
      <c r="B258" s="1"/>
      <c r="D258" s="1"/>
      <c r="E258" s="33"/>
      <c r="F258" s="34"/>
      <c r="G258" s="5"/>
      <c r="H258" s="5"/>
      <c r="I258" s="5"/>
      <c r="J258" s="5"/>
      <c r="K258" s="5"/>
      <c r="L258" s="5"/>
      <c r="M258" s="32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</row>
    <row r="259" ht="14.25" customHeight="1">
      <c r="B259" s="1"/>
      <c r="D259" s="1"/>
      <c r="E259" s="33"/>
      <c r="F259" s="34"/>
      <c r="G259" s="5"/>
      <c r="H259" s="5"/>
      <c r="I259" s="5"/>
      <c r="J259" s="5"/>
      <c r="K259" s="5"/>
      <c r="L259" s="5"/>
      <c r="M259" s="32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</row>
    <row r="260" ht="14.25" customHeight="1">
      <c r="B260" s="1"/>
      <c r="D260" s="1"/>
      <c r="E260" s="33"/>
      <c r="F260" s="34"/>
      <c r="G260" s="5"/>
      <c r="H260" s="5"/>
      <c r="I260" s="5"/>
      <c r="J260" s="5"/>
      <c r="K260" s="5"/>
      <c r="L260" s="5"/>
      <c r="M260" s="32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</row>
    <row r="261" ht="14.25" customHeight="1">
      <c r="B261" s="1"/>
      <c r="D261" s="1"/>
      <c r="E261" s="33"/>
      <c r="F261" s="34"/>
      <c r="G261" s="5"/>
      <c r="H261" s="5"/>
      <c r="I261" s="5"/>
      <c r="J261" s="5"/>
      <c r="K261" s="5"/>
      <c r="L261" s="5"/>
      <c r="M261" s="32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</row>
    <row r="262" ht="14.25" customHeight="1">
      <c r="B262" s="1"/>
      <c r="D262" s="1"/>
      <c r="E262" s="33"/>
      <c r="F262" s="34"/>
      <c r="G262" s="5"/>
      <c r="H262" s="5"/>
      <c r="I262" s="5"/>
      <c r="J262" s="5"/>
      <c r="K262" s="5"/>
      <c r="L262" s="5"/>
      <c r="M262" s="32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</row>
    <row r="263" ht="14.25" customHeight="1">
      <c r="B263" s="1"/>
      <c r="D263" s="1"/>
      <c r="E263" s="33"/>
      <c r="F263" s="34"/>
      <c r="G263" s="5"/>
      <c r="H263" s="5"/>
      <c r="I263" s="5"/>
      <c r="J263" s="5"/>
      <c r="K263" s="5"/>
      <c r="L263" s="5"/>
      <c r="M263" s="32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</row>
    <row r="264" ht="14.25" customHeight="1">
      <c r="B264" s="1"/>
      <c r="D264" s="1"/>
      <c r="E264" s="33"/>
      <c r="F264" s="34"/>
      <c r="G264" s="5"/>
      <c r="H264" s="5"/>
      <c r="I264" s="5"/>
      <c r="J264" s="5"/>
      <c r="K264" s="5"/>
      <c r="L264" s="5"/>
      <c r="M264" s="32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</row>
    <row r="265" ht="14.25" customHeight="1">
      <c r="B265" s="1"/>
      <c r="D265" s="1"/>
      <c r="E265" s="33"/>
      <c r="F265" s="34"/>
      <c r="G265" s="5"/>
      <c r="H265" s="5"/>
      <c r="I265" s="5"/>
      <c r="J265" s="5"/>
      <c r="K265" s="5"/>
      <c r="L265" s="5"/>
      <c r="M265" s="32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</row>
    <row r="266" ht="14.25" customHeight="1">
      <c r="B266" s="1"/>
      <c r="D266" s="1"/>
      <c r="E266" s="33"/>
      <c r="F266" s="34"/>
      <c r="G266" s="5"/>
      <c r="H266" s="5"/>
      <c r="I266" s="5"/>
      <c r="J266" s="5"/>
      <c r="K266" s="5"/>
      <c r="L266" s="5"/>
      <c r="M266" s="32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</row>
    <row r="267" ht="14.25" customHeight="1">
      <c r="B267" s="1"/>
      <c r="D267" s="1"/>
      <c r="E267" s="33"/>
      <c r="F267" s="34"/>
      <c r="G267" s="5"/>
      <c r="H267" s="5"/>
      <c r="I267" s="5"/>
      <c r="J267" s="5"/>
      <c r="K267" s="5"/>
      <c r="L267" s="5"/>
      <c r="M267" s="32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</row>
    <row r="268" ht="14.25" customHeight="1">
      <c r="B268" s="1"/>
      <c r="D268" s="1"/>
      <c r="E268" s="33"/>
      <c r="F268" s="34"/>
      <c r="G268" s="5"/>
      <c r="H268" s="5"/>
      <c r="I268" s="5"/>
      <c r="J268" s="5"/>
      <c r="K268" s="5"/>
      <c r="L268" s="5"/>
      <c r="M268" s="32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</row>
    <row r="269" ht="14.25" customHeight="1">
      <c r="B269" s="1"/>
      <c r="D269" s="1"/>
      <c r="E269" s="33"/>
      <c r="F269" s="34"/>
      <c r="G269" s="5"/>
      <c r="H269" s="5"/>
      <c r="I269" s="5"/>
      <c r="J269" s="5"/>
      <c r="K269" s="5"/>
      <c r="L269" s="5"/>
      <c r="M269" s="32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</row>
    <row r="270" ht="14.25" customHeight="1">
      <c r="B270" s="1"/>
      <c r="D270" s="1"/>
      <c r="E270" s="33"/>
      <c r="F270" s="34"/>
      <c r="G270" s="5"/>
      <c r="H270" s="5"/>
      <c r="I270" s="5"/>
      <c r="J270" s="5"/>
      <c r="K270" s="5"/>
      <c r="L270" s="5"/>
      <c r="M270" s="32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</row>
    <row r="271" ht="14.25" customHeight="1">
      <c r="B271" s="1"/>
      <c r="D271" s="1"/>
      <c r="E271" s="33"/>
      <c r="F271" s="34"/>
      <c r="G271" s="5"/>
      <c r="H271" s="5"/>
      <c r="I271" s="5"/>
      <c r="J271" s="5"/>
      <c r="K271" s="5"/>
      <c r="L271" s="5"/>
      <c r="M271" s="32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</row>
    <row r="272" ht="14.25" customHeight="1">
      <c r="B272" s="1"/>
      <c r="D272" s="1"/>
      <c r="E272" s="33"/>
      <c r="F272" s="34"/>
      <c r="G272" s="5"/>
      <c r="H272" s="5"/>
      <c r="I272" s="5"/>
      <c r="J272" s="5"/>
      <c r="K272" s="5"/>
      <c r="L272" s="5"/>
      <c r="M272" s="32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</row>
    <row r="273" ht="14.25" customHeight="1">
      <c r="B273" s="1"/>
      <c r="D273" s="1"/>
      <c r="E273" s="33"/>
      <c r="F273" s="34"/>
      <c r="G273" s="5"/>
      <c r="H273" s="5"/>
      <c r="I273" s="5"/>
      <c r="J273" s="5"/>
      <c r="K273" s="5"/>
      <c r="L273" s="5"/>
      <c r="M273" s="32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</row>
    <row r="274" ht="14.25" customHeight="1">
      <c r="B274" s="1"/>
      <c r="D274" s="1"/>
      <c r="E274" s="33"/>
      <c r="F274" s="34"/>
      <c r="G274" s="5"/>
      <c r="H274" s="5"/>
      <c r="I274" s="5"/>
      <c r="J274" s="5"/>
      <c r="K274" s="5"/>
      <c r="L274" s="5"/>
      <c r="M274" s="32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</row>
    <row r="275" ht="14.25" customHeight="1">
      <c r="B275" s="1"/>
      <c r="D275" s="1"/>
      <c r="E275" s="33"/>
      <c r="F275" s="34"/>
      <c r="G275" s="5"/>
      <c r="H275" s="5"/>
      <c r="I275" s="5"/>
      <c r="J275" s="5"/>
      <c r="K275" s="5"/>
      <c r="L275" s="5"/>
      <c r="M275" s="32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</row>
    <row r="276" ht="14.25" customHeight="1">
      <c r="B276" s="1"/>
      <c r="D276" s="1"/>
      <c r="E276" s="33"/>
      <c r="F276" s="34"/>
      <c r="G276" s="5"/>
      <c r="H276" s="5"/>
      <c r="I276" s="5"/>
      <c r="J276" s="5"/>
      <c r="K276" s="5"/>
      <c r="L276" s="5"/>
      <c r="M276" s="32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</row>
    <row r="277" ht="14.25" customHeight="1">
      <c r="B277" s="1"/>
      <c r="D277" s="1"/>
      <c r="E277" s="33"/>
      <c r="F277" s="34"/>
      <c r="G277" s="5"/>
      <c r="H277" s="5"/>
      <c r="I277" s="5"/>
      <c r="J277" s="5"/>
      <c r="K277" s="5"/>
      <c r="L277" s="5"/>
      <c r="M277" s="32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</row>
    <row r="278" ht="14.25" customHeight="1">
      <c r="B278" s="1"/>
      <c r="D278" s="1"/>
      <c r="E278" s="33"/>
      <c r="F278" s="34"/>
      <c r="G278" s="5"/>
      <c r="H278" s="5"/>
      <c r="I278" s="5"/>
      <c r="J278" s="5"/>
      <c r="K278" s="5"/>
      <c r="L278" s="5"/>
      <c r="M278" s="32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</row>
    <row r="279" ht="14.25" customHeight="1">
      <c r="B279" s="1"/>
      <c r="D279" s="1"/>
      <c r="E279" s="33"/>
      <c r="F279" s="34"/>
      <c r="G279" s="5"/>
      <c r="H279" s="5"/>
      <c r="I279" s="5"/>
      <c r="J279" s="5"/>
      <c r="K279" s="5"/>
      <c r="L279" s="5"/>
      <c r="M279" s="32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</row>
    <row r="280" ht="14.25" customHeight="1">
      <c r="B280" s="1"/>
      <c r="D280" s="1"/>
      <c r="E280" s="33"/>
      <c r="F280" s="34"/>
      <c r="G280" s="5"/>
      <c r="H280" s="5"/>
      <c r="I280" s="5"/>
      <c r="J280" s="5"/>
      <c r="K280" s="5"/>
      <c r="L280" s="5"/>
      <c r="M280" s="32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</row>
    <row r="281" ht="14.25" customHeight="1">
      <c r="B281" s="1"/>
      <c r="D281" s="1"/>
      <c r="E281" s="33"/>
      <c r="F281" s="34"/>
      <c r="G281" s="5"/>
      <c r="H281" s="5"/>
      <c r="I281" s="5"/>
      <c r="J281" s="5"/>
      <c r="K281" s="5"/>
      <c r="L281" s="5"/>
      <c r="M281" s="32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</row>
    <row r="282" ht="14.25" customHeight="1">
      <c r="B282" s="1"/>
      <c r="D282" s="1"/>
      <c r="E282" s="33"/>
      <c r="F282" s="34"/>
      <c r="G282" s="5"/>
      <c r="H282" s="5"/>
      <c r="I282" s="5"/>
      <c r="J282" s="5"/>
      <c r="K282" s="5"/>
      <c r="L282" s="5"/>
      <c r="M282" s="32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</row>
    <row r="283" ht="14.25" customHeight="1">
      <c r="B283" s="1"/>
      <c r="D283" s="1"/>
      <c r="E283" s="33"/>
      <c r="F283" s="34"/>
      <c r="G283" s="5"/>
      <c r="H283" s="5"/>
      <c r="I283" s="5"/>
      <c r="J283" s="5"/>
      <c r="K283" s="5"/>
      <c r="L283" s="5"/>
      <c r="M283" s="32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</row>
    <row r="284" ht="14.25" customHeight="1">
      <c r="B284" s="1"/>
      <c r="D284" s="1"/>
      <c r="E284" s="33"/>
      <c r="F284" s="34"/>
      <c r="G284" s="5"/>
      <c r="H284" s="5"/>
      <c r="I284" s="5"/>
      <c r="J284" s="5"/>
      <c r="K284" s="5"/>
      <c r="L284" s="5"/>
      <c r="M284" s="32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</row>
    <row r="285" ht="14.25" customHeight="1">
      <c r="B285" s="1"/>
      <c r="D285" s="1"/>
      <c r="E285" s="33"/>
      <c r="F285" s="34"/>
      <c r="G285" s="5"/>
      <c r="H285" s="5"/>
      <c r="I285" s="5"/>
      <c r="J285" s="5"/>
      <c r="K285" s="5"/>
      <c r="L285" s="5"/>
      <c r="M285" s="32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</row>
    <row r="286" ht="14.25" customHeight="1">
      <c r="B286" s="1"/>
      <c r="D286" s="1"/>
      <c r="E286" s="33"/>
      <c r="F286" s="34"/>
      <c r="G286" s="5"/>
      <c r="H286" s="5"/>
      <c r="I286" s="5"/>
      <c r="J286" s="5"/>
      <c r="K286" s="5"/>
      <c r="L286" s="5"/>
      <c r="M286" s="32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</row>
    <row r="287" ht="14.25" customHeight="1">
      <c r="B287" s="1"/>
      <c r="D287" s="1"/>
      <c r="E287" s="33"/>
      <c r="F287" s="34"/>
      <c r="G287" s="5"/>
      <c r="H287" s="5"/>
      <c r="I287" s="5"/>
      <c r="J287" s="5"/>
      <c r="K287" s="5"/>
      <c r="L287" s="5"/>
      <c r="M287" s="32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</row>
    <row r="288" ht="14.25" customHeight="1">
      <c r="B288" s="1"/>
      <c r="D288" s="1"/>
      <c r="E288" s="33"/>
      <c r="F288" s="34"/>
      <c r="G288" s="5"/>
      <c r="H288" s="5"/>
      <c r="I288" s="5"/>
      <c r="J288" s="5"/>
      <c r="K288" s="5"/>
      <c r="L288" s="5"/>
      <c r="M288" s="32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</row>
    <row r="289" ht="14.25" customHeight="1">
      <c r="B289" s="1"/>
      <c r="D289" s="1"/>
      <c r="E289" s="33"/>
      <c r="F289" s="34"/>
      <c r="G289" s="5"/>
      <c r="H289" s="5"/>
      <c r="I289" s="5"/>
      <c r="J289" s="5"/>
      <c r="K289" s="5"/>
      <c r="L289" s="5"/>
      <c r="M289" s="32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</row>
    <row r="290" ht="14.25" customHeight="1">
      <c r="B290" s="1"/>
      <c r="D290" s="1"/>
      <c r="E290" s="33"/>
      <c r="F290" s="34"/>
      <c r="G290" s="5"/>
      <c r="H290" s="5"/>
      <c r="I290" s="5"/>
      <c r="J290" s="5"/>
      <c r="K290" s="5"/>
      <c r="L290" s="5"/>
      <c r="M290" s="32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</row>
    <row r="291" ht="14.25" customHeight="1">
      <c r="B291" s="1"/>
      <c r="D291" s="1"/>
      <c r="E291" s="33"/>
      <c r="F291" s="34"/>
      <c r="G291" s="5"/>
      <c r="H291" s="5"/>
      <c r="I291" s="5"/>
      <c r="J291" s="5"/>
      <c r="K291" s="5"/>
      <c r="L291" s="5"/>
      <c r="M291" s="32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</row>
    <row r="292" ht="14.25" customHeight="1">
      <c r="B292" s="1"/>
      <c r="D292" s="1"/>
      <c r="E292" s="33"/>
      <c r="F292" s="34"/>
      <c r="G292" s="5"/>
      <c r="H292" s="5"/>
      <c r="I292" s="5"/>
      <c r="J292" s="5"/>
      <c r="K292" s="5"/>
      <c r="L292" s="5"/>
      <c r="M292" s="32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</row>
    <row r="293" ht="14.25" customHeight="1">
      <c r="B293" s="1"/>
      <c r="D293" s="1"/>
      <c r="E293" s="33"/>
      <c r="F293" s="34"/>
      <c r="G293" s="5"/>
      <c r="H293" s="5"/>
      <c r="I293" s="5"/>
      <c r="J293" s="5"/>
      <c r="K293" s="5"/>
      <c r="L293" s="5"/>
      <c r="M293" s="32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</row>
    <row r="294" ht="14.25" customHeight="1">
      <c r="B294" s="1"/>
      <c r="D294" s="1"/>
      <c r="E294" s="33"/>
      <c r="F294" s="34"/>
      <c r="G294" s="5"/>
      <c r="H294" s="5"/>
      <c r="I294" s="5"/>
      <c r="J294" s="5"/>
      <c r="K294" s="5"/>
      <c r="L294" s="5"/>
      <c r="M294" s="32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</row>
    <row r="295" ht="14.25" customHeight="1">
      <c r="B295" s="1"/>
      <c r="D295" s="1"/>
      <c r="E295" s="33"/>
      <c r="F295" s="34"/>
      <c r="G295" s="5"/>
      <c r="H295" s="5"/>
      <c r="I295" s="5"/>
      <c r="J295" s="5"/>
      <c r="K295" s="5"/>
      <c r="L295" s="5"/>
      <c r="M295" s="32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</row>
    <row r="296" ht="14.25" customHeight="1">
      <c r="B296" s="1"/>
      <c r="D296" s="1"/>
      <c r="E296" s="33"/>
      <c r="F296" s="34"/>
      <c r="G296" s="5"/>
      <c r="H296" s="5"/>
      <c r="I296" s="5"/>
      <c r="J296" s="5"/>
      <c r="K296" s="5"/>
      <c r="L296" s="5"/>
      <c r="M296" s="32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</row>
    <row r="297" ht="14.25" customHeight="1">
      <c r="B297" s="1"/>
      <c r="D297" s="1"/>
      <c r="E297" s="33"/>
      <c r="F297" s="34"/>
      <c r="G297" s="5"/>
      <c r="H297" s="5"/>
      <c r="I297" s="5"/>
      <c r="J297" s="5"/>
      <c r="K297" s="5"/>
      <c r="L297" s="5"/>
      <c r="M297" s="32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</row>
    <row r="298" ht="14.25" customHeight="1">
      <c r="B298" s="1"/>
      <c r="D298" s="1"/>
      <c r="E298" s="33"/>
      <c r="F298" s="34"/>
      <c r="G298" s="5"/>
      <c r="H298" s="5"/>
      <c r="I298" s="5"/>
      <c r="J298" s="5"/>
      <c r="K298" s="5"/>
      <c r="L298" s="5"/>
      <c r="M298" s="32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</row>
    <row r="299" ht="14.25" customHeight="1">
      <c r="B299" s="1"/>
      <c r="D299" s="1"/>
      <c r="E299" s="33"/>
      <c r="F299" s="34"/>
      <c r="G299" s="5"/>
      <c r="H299" s="5"/>
      <c r="I299" s="5"/>
      <c r="J299" s="5"/>
      <c r="K299" s="5"/>
      <c r="L299" s="5"/>
      <c r="M299" s="32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</row>
    <row r="300" ht="14.25" customHeight="1">
      <c r="B300" s="1"/>
      <c r="D300" s="1"/>
      <c r="E300" s="33"/>
      <c r="F300" s="34"/>
      <c r="G300" s="5"/>
      <c r="H300" s="5"/>
      <c r="I300" s="5"/>
      <c r="J300" s="5"/>
      <c r="K300" s="5"/>
      <c r="L300" s="5"/>
      <c r="M300" s="32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</row>
    <row r="301" ht="14.25" customHeight="1">
      <c r="B301" s="1"/>
      <c r="D301" s="1"/>
      <c r="E301" s="33"/>
      <c r="F301" s="34"/>
      <c r="G301" s="5"/>
      <c r="H301" s="5"/>
      <c r="I301" s="5"/>
      <c r="J301" s="5"/>
      <c r="K301" s="5"/>
      <c r="L301" s="5"/>
      <c r="M301" s="32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</row>
    <row r="302" ht="14.25" customHeight="1">
      <c r="B302" s="1"/>
      <c r="D302" s="1"/>
      <c r="E302" s="33"/>
      <c r="F302" s="34"/>
      <c r="G302" s="5"/>
      <c r="H302" s="5"/>
      <c r="I302" s="5"/>
      <c r="J302" s="5"/>
      <c r="K302" s="5"/>
      <c r="L302" s="5"/>
      <c r="M302" s="32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</row>
    <row r="303" ht="14.25" customHeight="1">
      <c r="B303" s="1"/>
      <c r="D303" s="1"/>
      <c r="E303" s="33"/>
      <c r="F303" s="34"/>
      <c r="G303" s="5"/>
      <c r="H303" s="5"/>
      <c r="I303" s="5"/>
      <c r="J303" s="5"/>
      <c r="K303" s="5"/>
      <c r="L303" s="5"/>
      <c r="M303" s="32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</row>
    <row r="304" ht="14.25" customHeight="1">
      <c r="B304" s="1"/>
      <c r="D304" s="1"/>
      <c r="E304" s="33"/>
      <c r="F304" s="34"/>
      <c r="G304" s="5"/>
      <c r="H304" s="5"/>
      <c r="I304" s="5"/>
      <c r="J304" s="5"/>
      <c r="K304" s="5"/>
      <c r="L304" s="5"/>
      <c r="M304" s="32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</row>
    <row r="305" ht="14.25" customHeight="1">
      <c r="B305" s="1"/>
      <c r="D305" s="1"/>
      <c r="E305" s="33"/>
      <c r="F305" s="34"/>
      <c r="G305" s="5"/>
      <c r="H305" s="5"/>
      <c r="I305" s="5"/>
      <c r="J305" s="5"/>
      <c r="K305" s="5"/>
      <c r="L305" s="5"/>
      <c r="M305" s="32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</row>
    <row r="306" ht="14.25" customHeight="1">
      <c r="B306" s="1"/>
      <c r="D306" s="1"/>
      <c r="E306" s="33"/>
      <c r="F306" s="34"/>
      <c r="G306" s="5"/>
      <c r="H306" s="5"/>
      <c r="I306" s="5"/>
      <c r="J306" s="5"/>
      <c r="K306" s="5"/>
      <c r="L306" s="5"/>
      <c r="M306" s="32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</row>
    <row r="307" ht="14.25" customHeight="1">
      <c r="B307" s="1"/>
      <c r="D307" s="1"/>
      <c r="E307" s="33"/>
      <c r="F307" s="34"/>
      <c r="G307" s="5"/>
      <c r="H307" s="5"/>
      <c r="I307" s="5"/>
      <c r="J307" s="5"/>
      <c r="K307" s="5"/>
      <c r="L307" s="5"/>
      <c r="M307" s="32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</row>
    <row r="308" ht="14.25" customHeight="1">
      <c r="B308" s="1"/>
      <c r="D308" s="1"/>
      <c r="E308" s="33"/>
      <c r="F308" s="34"/>
      <c r="G308" s="5"/>
      <c r="H308" s="5"/>
      <c r="I308" s="5"/>
      <c r="J308" s="5"/>
      <c r="K308" s="5"/>
      <c r="L308" s="5"/>
      <c r="M308" s="32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</row>
    <row r="309" ht="14.25" customHeight="1">
      <c r="B309" s="1"/>
      <c r="D309" s="1"/>
      <c r="E309" s="33"/>
      <c r="F309" s="34"/>
      <c r="G309" s="5"/>
      <c r="H309" s="5"/>
      <c r="I309" s="5"/>
      <c r="J309" s="5"/>
      <c r="K309" s="5"/>
      <c r="L309" s="5"/>
      <c r="M309" s="32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</row>
    <row r="310" ht="14.25" customHeight="1">
      <c r="B310" s="1"/>
      <c r="D310" s="1"/>
      <c r="E310" s="33"/>
      <c r="F310" s="34"/>
      <c r="G310" s="5"/>
      <c r="H310" s="5"/>
      <c r="I310" s="5"/>
      <c r="J310" s="5"/>
      <c r="K310" s="5"/>
      <c r="L310" s="5"/>
      <c r="M310" s="32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</row>
    <row r="311" ht="14.25" customHeight="1">
      <c r="B311" s="1"/>
      <c r="D311" s="1"/>
      <c r="E311" s="33"/>
      <c r="F311" s="34"/>
      <c r="G311" s="5"/>
      <c r="H311" s="5"/>
      <c r="I311" s="5"/>
      <c r="J311" s="5"/>
      <c r="K311" s="5"/>
      <c r="L311" s="5"/>
      <c r="M311" s="32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</row>
    <row r="312" ht="14.25" customHeight="1">
      <c r="B312" s="1"/>
      <c r="D312" s="1"/>
      <c r="E312" s="33"/>
      <c r="F312" s="34"/>
      <c r="G312" s="5"/>
      <c r="H312" s="5"/>
      <c r="I312" s="5"/>
      <c r="J312" s="5"/>
      <c r="K312" s="5"/>
      <c r="L312" s="5"/>
      <c r="M312" s="32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</row>
    <row r="313" ht="14.25" customHeight="1">
      <c r="B313" s="1"/>
      <c r="D313" s="1"/>
      <c r="E313" s="33"/>
      <c r="F313" s="34"/>
      <c r="G313" s="5"/>
      <c r="H313" s="5"/>
      <c r="I313" s="5"/>
      <c r="J313" s="5"/>
      <c r="K313" s="5"/>
      <c r="L313" s="5"/>
      <c r="M313" s="32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</row>
    <row r="314" ht="14.25" customHeight="1">
      <c r="B314" s="1"/>
      <c r="D314" s="1"/>
      <c r="E314" s="33"/>
      <c r="F314" s="34"/>
      <c r="G314" s="5"/>
      <c r="H314" s="5"/>
      <c r="I314" s="5"/>
      <c r="J314" s="5"/>
      <c r="K314" s="5"/>
      <c r="L314" s="5"/>
      <c r="M314" s="32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</row>
    <row r="315" ht="14.25" customHeight="1">
      <c r="B315" s="1"/>
      <c r="D315" s="1"/>
      <c r="E315" s="33"/>
      <c r="F315" s="34"/>
      <c r="G315" s="5"/>
      <c r="H315" s="5"/>
      <c r="I315" s="5"/>
      <c r="J315" s="5"/>
      <c r="K315" s="5"/>
      <c r="L315" s="5"/>
      <c r="M315" s="32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</row>
    <row r="316" ht="14.25" customHeight="1">
      <c r="B316" s="1"/>
      <c r="D316" s="1"/>
      <c r="E316" s="33"/>
      <c r="F316" s="34"/>
      <c r="G316" s="5"/>
      <c r="H316" s="5"/>
      <c r="I316" s="5"/>
      <c r="J316" s="5"/>
      <c r="K316" s="5"/>
      <c r="L316" s="5"/>
      <c r="M316" s="32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</row>
    <row r="317" ht="14.25" customHeight="1">
      <c r="B317" s="1"/>
      <c r="D317" s="1"/>
      <c r="E317" s="33"/>
      <c r="F317" s="34"/>
      <c r="G317" s="5"/>
      <c r="H317" s="5"/>
      <c r="I317" s="5"/>
      <c r="J317" s="5"/>
      <c r="K317" s="5"/>
      <c r="L317" s="5"/>
      <c r="M317" s="32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</row>
    <row r="318" ht="14.25" customHeight="1">
      <c r="B318" s="1"/>
      <c r="D318" s="1"/>
      <c r="E318" s="33"/>
      <c r="F318" s="34"/>
      <c r="G318" s="5"/>
      <c r="H318" s="5"/>
      <c r="I318" s="5"/>
      <c r="J318" s="5"/>
      <c r="K318" s="5"/>
      <c r="L318" s="5"/>
      <c r="M318" s="32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</row>
    <row r="319" ht="14.25" customHeight="1">
      <c r="B319" s="1"/>
      <c r="D319" s="1"/>
      <c r="E319" s="33"/>
      <c r="F319" s="34"/>
      <c r="G319" s="5"/>
      <c r="H319" s="5"/>
      <c r="I319" s="5"/>
      <c r="J319" s="5"/>
      <c r="K319" s="5"/>
      <c r="L319" s="5"/>
      <c r="M319" s="32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</row>
    <row r="320" ht="14.25" customHeight="1">
      <c r="B320" s="1"/>
      <c r="D320" s="1"/>
      <c r="E320" s="33"/>
      <c r="F320" s="34"/>
      <c r="G320" s="5"/>
      <c r="H320" s="5"/>
      <c r="I320" s="5"/>
      <c r="J320" s="5"/>
      <c r="K320" s="5"/>
      <c r="L320" s="5"/>
      <c r="M320" s="32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</row>
    <row r="321" ht="14.25" customHeight="1">
      <c r="B321" s="1"/>
      <c r="D321" s="1"/>
      <c r="E321" s="33"/>
      <c r="F321" s="34"/>
      <c r="G321" s="5"/>
      <c r="H321" s="5"/>
      <c r="I321" s="5"/>
      <c r="J321" s="5"/>
      <c r="K321" s="5"/>
      <c r="L321" s="5"/>
      <c r="M321" s="32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</row>
    <row r="322" ht="14.25" customHeight="1">
      <c r="B322" s="1"/>
      <c r="D322" s="1"/>
      <c r="E322" s="33"/>
      <c r="F322" s="34"/>
      <c r="G322" s="5"/>
      <c r="H322" s="5"/>
      <c r="I322" s="5"/>
      <c r="J322" s="5"/>
      <c r="K322" s="5"/>
      <c r="L322" s="5"/>
      <c r="M322" s="32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</row>
    <row r="323" ht="14.25" customHeight="1">
      <c r="B323" s="1"/>
      <c r="D323" s="1"/>
      <c r="E323" s="33"/>
      <c r="F323" s="34"/>
      <c r="G323" s="5"/>
      <c r="H323" s="5"/>
      <c r="I323" s="5"/>
      <c r="J323" s="5"/>
      <c r="K323" s="5"/>
      <c r="L323" s="5"/>
      <c r="M323" s="32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</row>
    <row r="324" ht="14.25" customHeight="1">
      <c r="B324" s="1"/>
      <c r="D324" s="1"/>
      <c r="E324" s="33"/>
      <c r="F324" s="34"/>
      <c r="G324" s="5"/>
      <c r="H324" s="5"/>
      <c r="I324" s="5"/>
      <c r="J324" s="5"/>
      <c r="K324" s="5"/>
      <c r="L324" s="5"/>
      <c r="M324" s="32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</row>
    <row r="325" ht="14.25" customHeight="1">
      <c r="B325" s="1"/>
      <c r="D325" s="1"/>
      <c r="E325" s="33"/>
      <c r="F325" s="34"/>
      <c r="G325" s="5"/>
      <c r="H325" s="5"/>
      <c r="I325" s="5"/>
      <c r="J325" s="5"/>
      <c r="K325" s="5"/>
      <c r="L325" s="5"/>
      <c r="M325" s="32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</row>
    <row r="326" ht="14.25" customHeight="1">
      <c r="B326" s="1"/>
      <c r="D326" s="1"/>
      <c r="E326" s="33"/>
      <c r="F326" s="34"/>
      <c r="G326" s="5"/>
      <c r="H326" s="5"/>
      <c r="I326" s="5"/>
      <c r="J326" s="5"/>
      <c r="K326" s="5"/>
      <c r="L326" s="5"/>
      <c r="M326" s="32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</row>
    <row r="327" ht="14.25" customHeight="1">
      <c r="B327" s="1"/>
      <c r="D327" s="1"/>
      <c r="E327" s="33"/>
      <c r="F327" s="34"/>
      <c r="G327" s="5"/>
      <c r="H327" s="5"/>
      <c r="I327" s="5"/>
      <c r="J327" s="5"/>
      <c r="K327" s="5"/>
      <c r="L327" s="5"/>
      <c r="M327" s="32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</row>
    <row r="328" ht="14.25" customHeight="1">
      <c r="B328" s="1"/>
      <c r="D328" s="1"/>
      <c r="E328" s="33"/>
      <c r="F328" s="34"/>
      <c r="G328" s="5"/>
      <c r="H328" s="5"/>
      <c r="I328" s="5"/>
      <c r="J328" s="5"/>
      <c r="K328" s="5"/>
      <c r="L328" s="5"/>
      <c r="M328" s="32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</row>
    <row r="329" ht="14.25" customHeight="1">
      <c r="B329" s="1"/>
      <c r="D329" s="1"/>
      <c r="E329" s="33"/>
      <c r="F329" s="34"/>
      <c r="G329" s="5"/>
      <c r="H329" s="5"/>
      <c r="I329" s="5"/>
      <c r="J329" s="5"/>
      <c r="K329" s="5"/>
      <c r="L329" s="5"/>
      <c r="M329" s="32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</row>
    <row r="330" ht="14.25" customHeight="1">
      <c r="B330" s="1"/>
      <c r="D330" s="1"/>
      <c r="E330" s="33"/>
      <c r="F330" s="34"/>
      <c r="G330" s="5"/>
      <c r="H330" s="5"/>
      <c r="I330" s="5"/>
      <c r="J330" s="5"/>
      <c r="K330" s="5"/>
      <c r="L330" s="5"/>
      <c r="M330" s="32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</row>
    <row r="331" ht="14.25" customHeight="1">
      <c r="B331" s="1"/>
      <c r="D331" s="1"/>
      <c r="E331" s="33"/>
      <c r="F331" s="34"/>
      <c r="G331" s="5"/>
      <c r="H331" s="5"/>
      <c r="I331" s="5"/>
      <c r="J331" s="5"/>
      <c r="K331" s="5"/>
      <c r="L331" s="5"/>
      <c r="M331" s="32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</row>
    <row r="332" ht="14.25" customHeight="1">
      <c r="B332" s="1"/>
      <c r="D332" s="1"/>
      <c r="E332" s="33"/>
      <c r="F332" s="34"/>
      <c r="G332" s="5"/>
      <c r="H332" s="5"/>
      <c r="I332" s="5"/>
      <c r="J332" s="5"/>
      <c r="K332" s="5"/>
      <c r="L332" s="5"/>
      <c r="M332" s="32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</row>
    <row r="333" ht="14.25" customHeight="1">
      <c r="B333" s="1"/>
      <c r="D333" s="1"/>
      <c r="E333" s="33"/>
      <c r="F333" s="34"/>
      <c r="G333" s="5"/>
      <c r="H333" s="5"/>
      <c r="I333" s="5"/>
      <c r="J333" s="5"/>
      <c r="K333" s="5"/>
      <c r="L333" s="5"/>
      <c r="M333" s="32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</row>
    <row r="334" ht="14.25" customHeight="1">
      <c r="B334" s="1"/>
      <c r="D334" s="1"/>
      <c r="E334" s="33"/>
      <c r="F334" s="34"/>
      <c r="G334" s="5"/>
      <c r="H334" s="5"/>
      <c r="I334" s="5"/>
      <c r="J334" s="5"/>
      <c r="K334" s="5"/>
      <c r="L334" s="5"/>
      <c r="M334" s="32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</row>
    <row r="335" ht="14.25" customHeight="1">
      <c r="B335" s="1"/>
      <c r="D335" s="1"/>
      <c r="E335" s="33"/>
      <c r="F335" s="34"/>
      <c r="G335" s="5"/>
      <c r="H335" s="5"/>
      <c r="I335" s="5"/>
      <c r="J335" s="5"/>
      <c r="K335" s="5"/>
      <c r="L335" s="5"/>
      <c r="M335" s="32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</row>
    <row r="336" ht="14.25" customHeight="1">
      <c r="B336" s="1"/>
      <c r="D336" s="1"/>
      <c r="E336" s="33"/>
      <c r="F336" s="34"/>
      <c r="G336" s="5"/>
      <c r="H336" s="5"/>
      <c r="I336" s="5"/>
      <c r="J336" s="5"/>
      <c r="K336" s="5"/>
      <c r="L336" s="5"/>
      <c r="M336" s="32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</row>
    <row r="337" ht="14.25" customHeight="1">
      <c r="B337" s="1"/>
      <c r="D337" s="1"/>
      <c r="E337" s="33"/>
      <c r="F337" s="34"/>
      <c r="G337" s="5"/>
      <c r="H337" s="5"/>
      <c r="I337" s="5"/>
      <c r="J337" s="5"/>
      <c r="K337" s="5"/>
      <c r="L337" s="5"/>
      <c r="M337" s="32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</row>
    <row r="338" ht="14.25" customHeight="1">
      <c r="B338" s="1"/>
      <c r="D338" s="1"/>
      <c r="E338" s="33"/>
      <c r="F338" s="34"/>
      <c r="G338" s="5"/>
      <c r="H338" s="5"/>
      <c r="I338" s="5"/>
      <c r="J338" s="5"/>
      <c r="K338" s="5"/>
      <c r="L338" s="5"/>
      <c r="M338" s="32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</row>
    <row r="339" ht="14.25" customHeight="1">
      <c r="B339" s="1"/>
      <c r="D339" s="1"/>
      <c r="E339" s="33"/>
      <c r="F339" s="34"/>
      <c r="G339" s="5"/>
      <c r="H339" s="5"/>
      <c r="I339" s="5"/>
      <c r="J339" s="5"/>
      <c r="K339" s="5"/>
      <c r="L339" s="5"/>
      <c r="M339" s="32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</row>
    <row r="340" ht="14.25" customHeight="1">
      <c r="B340" s="1"/>
      <c r="D340" s="1"/>
      <c r="E340" s="33"/>
      <c r="F340" s="34"/>
      <c r="G340" s="5"/>
      <c r="H340" s="5"/>
      <c r="I340" s="5"/>
      <c r="J340" s="5"/>
      <c r="K340" s="5"/>
      <c r="L340" s="5"/>
      <c r="M340" s="32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</row>
    <row r="341" ht="14.25" customHeight="1">
      <c r="B341" s="1"/>
      <c r="D341" s="1"/>
      <c r="E341" s="33"/>
      <c r="F341" s="34"/>
      <c r="G341" s="5"/>
      <c r="H341" s="5"/>
      <c r="I341" s="5"/>
      <c r="J341" s="5"/>
      <c r="K341" s="5"/>
      <c r="L341" s="5"/>
      <c r="M341" s="32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</row>
    <row r="342" ht="14.25" customHeight="1">
      <c r="B342" s="1"/>
      <c r="D342" s="1"/>
      <c r="E342" s="33"/>
      <c r="F342" s="34"/>
      <c r="G342" s="5"/>
      <c r="H342" s="5"/>
      <c r="I342" s="5"/>
      <c r="J342" s="5"/>
      <c r="K342" s="5"/>
      <c r="L342" s="5"/>
      <c r="M342" s="32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</row>
    <row r="343" ht="14.25" customHeight="1">
      <c r="B343" s="1"/>
      <c r="D343" s="1"/>
      <c r="E343" s="33"/>
      <c r="F343" s="34"/>
      <c r="G343" s="5"/>
      <c r="H343" s="5"/>
      <c r="I343" s="5"/>
      <c r="J343" s="5"/>
      <c r="K343" s="5"/>
      <c r="L343" s="5"/>
      <c r="M343" s="32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</row>
    <row r="344" ht="14.25" customHeight="1">
      <c r="B344" s="1"/>
      <c r="D344" s="1"/>
      <c r="E344" s="33"/>
      <c r="F344" s="34"/>
      <c r="G344" s="5"/>
      <c r="H344" s="5"/>
      <c r="I344" s="5"/>
      <c r="J344" s="5"/>
      <c r="K344" s="5"/>
      <c r="L344" s="5"/>
      <c r="M344" s="32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</row>
    <row r="345" ht="14.25" customHeight="1">
      <c r="B345" s="1"/>
      <c r="D345" s="1"/>
      <c r="E345" s="33"/>
      <c r="F345" s="34"/>
      <c r="G345" s="5"/>
      <c r="H345" s="5"/>
      <c r="I345" s="5"/>
      <c r="J345" s="5"/>
      <c r="K345" s="5"/>
      <c r="L345" s="5"/>
      <c r="M345" s="32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</row>
    <row r="346" ht="14.25" customHeight="1">
      <c r="B346" s="1"/>
      <c r="D346" s="1"/>
      <c r="E346" s="33"/>
      <c r="F346" s="34"/>
      <c r="G346" s="5"/>
      <c r="H346" s="5"/>
      <c r="I346" s="5"/>
      <c r="J346" s="5"/>
      <c r="K346" s="5"/>
      <c r="L346" s="5"/>
      <c r="M346" s="32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</row>
    <row r="347" ht="14.25" customHeight="1">
      <c r="B347" s="1"/>
      <c r="D347" s="1"/>
      <c r="E347" s="33"/>
      <c r="F347" s="34"/>
      <c r="G347" s="5"/>
      <c r="H347" s="5"/>
      <c r="I347" s="5"/>
      <c r="J347" s="5"/>
      <c r="K347" s="5"/>
      <c r="L347" s="5"/>
      <c r="M347" s="32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</row>
    <row r="348" ht="14.25" customHeight="1">
      <c r="B348" s="1"/>
      <c r="D348" s="1"/>
      <c r="E348" s="33"/>
      <c r="F348" s="34"/>
      <c r="G348" s="5"/>
      <c r="H348" s="5"/>
      <c r="I348" s="5"/>
      <c r="J348" s="5"/>
      <c r="K348" s="5"/>
      <c r="L348" s="5"/>
      <c r="M348" s="32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</row>
    <row r="349" ht="14.25" customHeight="1">
      <c r="B349" s="1"/>
      <c r="D349" s="1"/>
      <c r="E349" s="33"/>
      <c r="F349" s="34"/>
      <c r="G349" s="5"/>
      <c r="H349" s="5"/>
      <c r="I349" s="5"/>
      <c r="J349" s="5"/>
      <c r="K349" s="5"/>
      <c r="L349" s="5"/>
      <c r="M349" s="32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</row>
    <row r="350" ht="14.25" customHeight="1">
      <c r="B350" s="1"/>
      <c r="D350" s="1"/>
      <c r="E350" s="33"/>
      <c r="F350" s="34"/>
      <c r="G350" s="5"/>
      <c r="H350" s="5"/>
      <c r="I350" s="5"/>
      <c r="J350" s="5"/>
      <c r="K350" s="5"/>
      <c r="L350" s="5"/>
      <c r="M350" s="32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</row>
    <row r="351" ht="14.25" customHeight="1">
      <c r="B351" s="1"/>
      <c r="D351" s="1"/>
      <c r="E351" s="33"/>
      <c r="F351" s="34"/>
      <c r="G351" s="5"/>
      <c r="H351" s="5"/>
      <c r="I351" s="5"/>
      <c r="J351" s="5"/>
      <c r="K351" s="5"/>
      <c r="L351" s="5"/>
      <c r="M351" s="32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</row>
    <row r="352" ht="14.25" customHeight="1">
      <c r="B352" s="1"/>
      <c r="D352" s="1"/>
      <c r="E352" s="33"/>
      <c r="F352" s="34"/>
      <c r="G352" s="5"/>
      <c r="H352" s="5"/>
      <c r="I352" s="5"/>
      <c r="J352" s="5"/>
      <c r="K352" s="5"/>
      <c r="L352" s="5"/>
      <c r="M352" s="32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</row>
    <row r="353" ht="14.25" customHeight="1">
      <c r="B353" s="1"/>
      <c r="D353" s="1"/>
      <c r="E353" s="33"/>
      <c r="F353" s="34"/>
      <c r="G353" s="5"/>
      <c r="H353" s="5"/>
      <c r="I353" s="5"/>
      <c r="J353" s="5"/>
      <c r="K353" s="5"/>
      <c r="L353" s="5"/>
      <c r="M353" s="32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</row>
    <row r="354" ht="14.25" customHeight="1">
      <c r="B354" s="1"/>
      <c r="D354" s="1"/>
      <c r="E354" s="33"/>
      <c r="F354" s="34"/>
      <c r="G354" s="5"/>
      <c r="H354" s="5"/>
      <c r="I354" s="5"/>
      <c r="J354" s="5"/>
      <c r="K354" s="5"/>
      <c r="L354" s="5"/>
      <c r="M354" s="32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</row>
    <row r="355" ht="14.25" customHeight="1">
      <c r="B355" s="1"/>
      <c r="D355" s="1"/>
      <c r="E355" s="33"/>
      <c r="F355" s="34"/>
      <c r="G355" s="5"/>
      <c r="H355" s="5"/>
      <c r="I355" s="5"/>
      <c r="J355" s="5"/>
      <c r="K355" s="5"/>
      <c r="L355" s="5"/>
      <c r="M355" s="32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</row>
    <row r="356" ht="14.25" customHeight="1">
      <c r="B356" s="1"/>
      <c r="D356" s="1"/>
      <c r="E356" s="33"/>
      <c r="F356" s="34"/>
      <c r="G356" s="5"/>
      <c r="H356" s="5"/>
      <c r="I356" s="5"/>
      <c r="J356" s="5"/>
      <c r="K356" s="5"/>
      <c r="L356" s="5"/>
      <c r="M356" s="32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</row>
    <row r="357" ht="14.25" customHeight="1">
      <c r="B357" s="1"/>
      <c r="D357" s="1"/>
      <c r="E357" s="33"/>
      <c r="F357" s="34"/>
      <c r="G357" s="5"/>
      <c r="H357" s="5"/>
      <c r="I357" s="5"/>
      <c r="J357" s="5"/>
      <c r="K357" s="5"/>
      <c r="L357" s="5"/>
      <c r="M357" s="32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</row>
    <row r="358" ht="14.25" customHeight="1">
      <c r="B358" s="1"/>
      <c r="D358" s="1"/>
      <c r="E358" s="33"/>
      <c r="F358" s="34"/>
      <c r="G358" s="5"/>
      <c r="H358" s="5"/>
      <c r="I358" s="5"/>
      <c r="J358" s="5"/>
      <c r="K358" s="5"/>
      <c r="L358" s="5"/>
      <c r="M358" s="32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</row>
    <row r="359" ht="14.25" customHeight="1">
      <c r="B359" s="1"/>
      <c r="D359" s="1"/>
      <c r="E359" s="33"/>
      <c r="F359" s="34"/>
      <c r="G359" s="5"/>
      <c r="H359" s="5"/>
      <c r="I359" s="5"/>
      <c r="J359" s="5"/>
      <c r="K359" s="5"/>
      <c r="L359" s="5"/>
      <c r="M359" s="32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</row>
    <row r="360" ht="14.25" customHeight="1">
      <c r="B360" s="1"/>
      <c r="D360" s="1"/>
      <c r="E360" s="33"/>
      <c r="F360" s="34"/>
      <c r="G360" s="5"/>
      <c r="H360" s="5"/>
      <c r="I360" s="5"/>
      <c r="J360" s="5"/>
      <c r="K360" s="5"/>
      <c r="L360" s="5"/>
      <c r="M360" s="32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</row>
    <row r="361" ht="14.25" customHeight="1">
      <c r="B361" s="1"/>
      <c r="D361" s="1"/>
      <c r="E361" s="33"/>
      <c r="F361" s="34"/>
      <c r="G361" s="5"/>
      <c r="H361" s="5"/>
      <c r="I361" s="5"/>
      <c r="J361" s="5"/>
      <c r="K361" s="5"/>
      <c r="L361" s="5"/>
      <c r="M361" s="32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</row>
    <row r="362" ht="14.25" customHeight="1">
      <c r="B362" s="1"/>
      <c r="D362" s="1"/>
      <c r="E362" s="33"/>
      <c r="F362" s="34"/>
      <c r="G362" s="5"/>
      <c r="H362" s="5"/>
      <c r="I362" s="5"/>
      <c r="J362" s="5"/>
      <c r="K362" s="5"/>
      <c r="L362" s="5"/>
      <c r="M362" s="32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</row>
    <row r="363" ht="14.25" customHeight="1">
      <c r="B363" s="1"/>
      <c r="D363" s="1"/>
      <c r="E363" s="33"/>
      <c r="F363" s="34"/>
      <c r="G363" s="5"/>
      <c r="H363" s="5"/>
      <c r="I363" s="5"/>
      <c r="J363" s="5"/>
      <c r="K363" s="5"/>
      <c r="L363" s="5"/>
      <c r="M363" s="32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</row>
    <row r="364" ht="14.25" customHeight="1">
      <c r="B364" s="1"/>
      <c r="D364" s="1"/>
      <c r="E364" s="33"/>
      <c r="F364" s="34"/>
      <c r="G364" s="5"/>
      <c r="H364" s="5"/>
      <c r="I364" s="5"/>
      <c r="J364" s="5"/>
      <c r="K364" s="5"/>
      <c r="L364" s="5"/>
      <c r="M364" s="32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</row>
    <row r="365" ht="14.25" customHeight="1">
      <c r="B365" s="1"/>
      <c r="D365" s="1"/>
      <c r="E365" s="33"/>
      <c r="F365" s="34"/>
      <c r="G365" s="5"/>
      <c r="H365" s="5"/>
      <c r="I365" s="5"/>
      <c r="J365" s="5"/>
      <c r="K365" s="5"/>
      <c r="L365" s="5"/>
      <c r="M365" s="32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</row>
    <row r="366" ht="14.25" customHeight="1">
      <c r="B366" s="1"/>
      <c r="D366" s="1"/>
      <c r="E366" s="33"/>
      <c r="F366" s="34"/>
      <c r="G366" s="5"/>
      <c r="H366" s="5"/>
      <c r="I366" s="5"/>
      <c r="J366" s="5"/>
      <c r="K366" s="5"/>
      <c r="L366" s="5"/>
      <c r="M366" s="32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</row>
    <row r="367" ht="14.25" customHeight="1">
      <c r="B367" s="1"/>
      <c r="D367" s="1"/>
      <c r="E367" s="33"/>
      <c r="F367" s="34"/>
      <c r="G367" s="5"/>
      <c r="H367" s="5"/>
      <c r="I367" s="5"/>
      <c r="J367" s="5"/>
      <c r="K367" s="5"/>
      <c r="L367" s="5"/>
      <c r="M367" s="32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/>
      <c r="BI367" s="5"/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</row>
    <row r="368" ht="14.25" customHeight="1">
      <c r="B368" s="1"/>
      <c r="D368" s="1"/>
      <c r="E368" s="33"/>
      <c r="F368" s="34"/>
      <c r="G368" s="5"/>
      <c r="H368" s="5"/>
      <c r="I368" s="5"/>
      <c r="J368" s="5"/>
      <c r="K368" s="5"/>
      <c r="L368" s="5"/>
      <c r="M368" s="32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/>
      <c r="BI368" s="5"/>
      <c r="BJ368" s="5"/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</row>
    <row r="369" ht="14.25" customHeight="1">
      <c r="B369" s="1"/>
      <c r="D369" s="1"/>
      <c r="E369" s="33"/>
      <c r="F369" s="34"/>
      <c r="G369" s="5"/>
      <c r="H369" s="5"/>
      <c r="I369" s="5"/>
      <c r="J369" s="5"/>
      <c r="K369" s="5"/>
      <c r="L369" s="5"/>
      <c r="M369" s="32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5"/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/>
      <c r="CD369" s="5"/>
      <c r="CE369" s="5"/>
      <c r="CF369" s="5"/>
      <c r="CG369" s="5"/>
      <c r="CH369" s="5"/>
      <c r="CI369" s="5"/>
    </row>
    <row r="370" ht="14.25" customHeight="1">
      <c r="B370" s="1"/>
      <c r="D370" s="1"/>
      <c r="E370" s="33"/>
      <c r="F370" s="34"/>
      <c r="G370" s="5"/>
      <c r="H370" s="5"/>
      <c r="I370" s="5"/>
      <c r="J370" s="5"/>
      <c r="K370" s="5"/>
      <c r="L370" s="5"/>
      <c r="M370" s="32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5"/>
      <c r="CB370" s="5"/>
      <c r="CC370" s="5"/>
      <c r="CD370" s="5"/>
      <c r="CE370" s="5"/>
      <c r="CF370" s="5"/>
      <c r="CG370" s="5"/>
      <c r="CH370" s="5"/>
      <c r="CI370" s="5"/>
    </row>
    <row r="371" ht="14.25" customHeight="1">
      <c r="B371" s="1"/>
      <c r="D371" s="1"/>
      <c r="E371" s="33"/>
      <c r="F371" s="34"/>
      <c r="G371" s="5"/>
      <c r="H371" s="5"/>
      <c r="I371" s="5"/>
      <c r="J371" s="5"/>
      <c r="K371" s="5"/>
      <c r="L371" s="5"/>
      <c r="M371" s="32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5"/>
      <c r="CB371" s="5"/>
      <c r="CC371" s="5"/>
      <c r="CD371" s="5"/>
      <c r="CE371" s="5"/>
      <c r="CF371" s="5"/>
      <c r="CG371" s="5"/>
      <c r="CH371" s="5"/>
      <c r="CI371" s="5"/>
    </row>
    <row r="372" ht="14.25" customHeight="1">
      <c r="B372" s="1"/>
      <c r="D372" s="1"/>
      <c r="E372" s="33"/>
      <c r="F372" s="34"/>
      <c r="G372" s="5"/>
      <c r="H372" s="5"/>
      <c r="I372" s="5"/>
      <c r="J372" s="5"/>
      <c r="K372" s="5"/>
      <c r="L372" s="5"/>
      <c r="M372" s="32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5"/>
      <c r="CB372" s="5"/>
      <c r="CC372" s="5"/>
      <c r="CD372" s="5"/>
      <c r="CE372" s="5"/>
      <c r="CF372" s="5"/>
      <c r="CG372" s="5"/>
      <c r="CH372" s="5"/>
      <c r="CI372" s="5"/>
    </row>
    <row r="373" ht="14.25" customHeight="1">
      <c r="B373" s="1"/>
      <c r="D373" s="1"/>
      <c r="E373" s="33"/>
      <c r="F373" s="34"/>
      <c r="G373" s="5"/>
      <c r="H373" s="5"/>
      <c r="I373" s="5"/>
      <c r="J373" s="5"/>
      <c r="K373" s="5"/>
      <c r="L373" s="5"/>
      <c r="M373" s="32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5"/>
      <c r="CB373" s="5"/>
      <c r="CC373" s="5"/>
      <c r="CD373" s="5"/>
      <c r="CE373" s="5"/>
      <c r="CF373" s="5"/>
      <c r="CG373" s="5"/>
      <c r="CH373" s="5"/>
      <c r="CI373" s="5"/>
    </row>
    <row r="374" ht="14.25" customHeight="1">
      <c r="B374" s="1"/>
      <c r="D374" s="1"/>
      <c r="E374" s="33"/>
      <c r="F374" s="34"/>
      <c r="G374" s="5"/>
      <c r="H374" s="5"/>
      <c r="I374" s="5"/>
      <c r="J374" s="5"/>
      <c r="K374" s="5"/>
      <c r="L374" s="5"/>
      <c r="M374" s="32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5"/>
      <c r="CB374" s="5"/>
      <c r="CC374" s="5"/>
      <c r="CD374" s="5"/>
      <c r="CE374" s="5"/>
      <c r="CF374" s="5"/>
      <c r="CG374" s="5"/>
      <c r="CH374" s="5"/>
      <c r="CI374" s="5"/>
    </row>
    <row r="375" ht="14.25" customHeight="1">
      <c r="B375" s="1"/>
      <c r="D375" s="1"/>
      <c r="E375" s="33"/>
      <c r="F375" s="34"/>
      <c r="G375" s="5"/>
      <c r="H375" s="5"/>
      <c r="I375" s="5"/>
      <c r="J375" s="5"/>
      <c r="K375" s="5"/>
      <c r="L375" s="5"/>
      <c r="M375" s="32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5"/>
      <c r="CB375" s="5"/>
      <c r="CC375" s="5"/>
      <c r="CD375" s="5"/>
      <c r="CE375" s="5"/>
      <c r="CF375" s="5"/>
      <c r="CG375" s="5"/>
      <c r="CH375" s="5"/>
      <c r="CI375" s="5"/>
    </row>
    <row r="376" ht="14.25" customHeight="1">
      <c r="B376" s="1"/>
      <c r="D376" s="1"/>
      <c r="E376" s="33"/>
      <c r="F376" s="34"/>
      <c r="G376" s="5"/>
      <c r="H376" s="5"/>
      <c r="I376" s="5"/>
      <c r="J376" s="5"/>
      <c r="K376" s="5"/>
      <c r="L376" s="5"/>
      <c r="M376" s="32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5"/>
      <c r="CB376" s="5"/>
      <c r="CC376" s="5"/>
      <c r="CD376" s="5"/>
      <c r="CE376" s="5"/>
      <c r="CF376" s="5"/>
      <c r="CG376" s="5"/>
      <c r="CH376" s="5"/>
      <c r="CI376" s="5"/>
    </row>
    <row r="377" ht="14.25" customHeight="1">
      <c r="B377" s="1"/>
      <c r="D377" s="1"/>
      <c r="E377" s="33"/>
      <c r="F377" s="34"/>
      <c r="G377" s="5"/>
      <c r="H377" s="5"/>
      <c r="I377" s="5"/>
      <c r="J377" s="5"/>
      <c r="K377" s="5"/>
      <c r="L377" s="5"/>
      <c r="M377" s="32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5"/>
      <c r="CB377" s="5"/>
      <c r="CC377" s="5"/>
      <c r="CD377" s="5"/>
      <c r="CE377" s="5"/>
      <c r="CF377" s="5"/>
      <c r="CG377" s="5"/>
      <c r="CH377" s="5"/>
      <c r="CI377" s="5"/>
    </row>
    <row r="378" ht="14.25" customHeight="1">
      <c r="B378" s="1"/>
      <c r="D378" s="1"/>
      <c r="E378" s="33"/>
      <c r="F378" s="34"/>
      <c r="G378" s="5"/>
      <c r="H378" s="5"/>
      <c r="I378" s="5"/>
      <c r="J378" s="5"/>
      <c r="K378" s="5"/>
      <c r="L378" s="5"/>
      <c r="M378" s="32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5"/>
      <c r="CB378" s="5"/>
      <c r="CC378" s="5"/>
      <c r="CD378" s="5"/>
      <c r="CE378" s="5"/>
      <c r="CF378" s="5"/>
      <c r="CG378" s="5"/>
      <c r="CH378" s="5"/>
      <c r="CI378" s="5"/>
    </row>
    <row r="379" ht="14.25" customHeight="1">
      <c r="B379" s="1"/>
      <c r="D379" s="1"/>
      <c r="E379" s="33"/>
      <c r="F379" s="34"/>
      <c r="G379" s="5"/>
      <c r="H379" s="5"/>
      <c r="I379" s="5"/>
      <c r="J379" s="5"/>
      <c r="K379" s="5"/>
      <c r="L379" s="5"/>
      <c r="M379" s="32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5"/>
      <c r="CB379" s="5"/>
      <c r="CC379" s="5"/>
      <c r="CD379" s="5"/>
      <c r="CE379" s="5"/>
      <c r="CF379" s="5"/>
      <c r="CG379" s="5"/>
      <c r="CH379" s="5"/>
      <c r="CI379" s="5"/>
    </row>
    <row r="380" ht="14.25" customHeight="1">
      <c r="B380" s="1"/>
      <c r="D380" s="1"/>
      <c r="E380" s="33"/>
      <c r="F380" s="34"/>
      <c r="G380" s="5"/>
      <c r="H380" s="5"/>
      <c r="I380" s="5"/>
      <c r="J380" s="5"/>
      <c r="K380" s="5"/>
      <c r="L380" s="5"/>
      <c r="M380" s="32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5"/>
      <c r="CB380" s="5"/>
      <c r="CC380" s="5"/>
      <c r="CD380" s="5"/>
      <c r="CE380" s="5"/>
      <c r="CF380" s="5"/>
      <c r="CG380" s="5"/>
      <c r="CH380" s="5"/>
      <c r="CI380" s="5"/>
    </row>
    <row r="381" ht="14.25" customHeight="1">
      <c r="B381" s="1"/>
      <c r="D381" s="1"/>
      <c r="E381" s="33"/>
      <c r="F381" s="34"/>
      <c r="G381" s="5"/>
      <c r="H381" s="5"/>
      <c r="I381" s="5"/>
      <c r="J381" s="5"/>
      <c r="K381" s="5"/>
      <c r="L381" s="5"/>
      <c r="M381" s="32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5"/>
      <c r="CB381" s="5"/>
      <c r="CC381" s="5"/>
      <c r="CD381" s="5"/>
      <c r="CE381" s="5"/>
      <c r="CF381" s="5"/>
      <c r="CG381" s="5"/>
      <c r="CH381" s="5"/>
      <c r="CI381" s="5"/>
    </row>
    <row r="382" ht="14.25" customHeight="1">
      <c r="B382" s="1"/>
      <c r="D382" s="1"/>
      <c r="E382" s="33"/>
      <c r="F382" s="34"/>
      <c r="G382" s="5"/>
      <c r="H382" s="5"/>
      <c r="I382" s="5"/>
      <c r="J382" s="5"/>
      <c r="K382" s="5"/>
      <c r="L382" s="5"/>
      <c r="M382" s="32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5"/>
      <c r="CB382" s="5"/>
      <c r="CC382" s="5"/>
      <c r="CD382" s="5"/>
      <c r="CE382" s="5"/>
      <c r="CF382" s="5"/>
      <c r="CG382" s="5"/>
      <c r="CH382" s="5"/>
      <c r="CI382" s="5"/>
    </row>
    <row r="383" ht="14.25" customHeight="1">
      <c r="B383" s="1"/>
      <c r="D383" s="1"/>
      <c r="E383" s="33"/>
      <c r="F383" s="34"/>
      <c r="G383" s="5"/>
      <c r="H383" s="5"/>
      <c r="I383" s="5"/>
      <c r="J383" s="5"/>
      <c r="K383" s="5"/>
      <c r="L383" s="5"/>
      <c r="M383" s="32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5"/>
      <c r="CB383" s="5"/>
      <c r="CC383" s="5"/>
      <c r="CD383" s="5"/>
      <c r="CE383" s="5"/>
      <c r="CF383" s="5"/>
      <c r="CG383" s="5"/>
      <c r="CH383" s="5"/>
      <c r="CI383" s="5"/>
    </row>
    <row r="384" ht="14.25" customHeight="1">
      <c r="B384" s="1"/>
      <c r="D384" s="1"/>
      <c r="E384" s="33"/>
      <c r="F384" s="34"/>
      <c r="G384" s="5"/>
      <c r="H384" s="5"/>
      <c r="I384" s="5"/>
      <c r="J384" s="5"/>
      <c r="K384" s="5"/>
      <c r="L384" s="5"/>
      <c r="M384" s="32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5"/>
      <c r="CB384" s="5"/>
      <c r="CC384" s="5"/>
      <c r="CD384" s="5"/>
      <c r="CE384" s="5"/>
      <c r="CF384" s="5"/>
      <c r="CG384" s="5"/>
      <c r="CH384" s="5"/>
      <c r="CI384" s="5"/>
    </row>
    <row r="385" ht="14.25" customHeight="1">
      <c r="B385" s="1"/>
      <c r="D385" s="1"/>
      <c r="E385" s="33"/>
      <c r="F385" s="34"/>
      <c r="G385" s="5"/>
      <c r="H385" s="5"/>
      <c r="I385" s="5"/>
      <c r="J385" s="5"/>
      <c r="K385" s="5"/>
      <c r="L385" s="5"/>
      <c r="M385" s="32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5"/>
      <c r="CB385" s="5"/>
      <c r="CC385" s="5"/>
      <c r="CD385" s="5"/>
      <c r="CE385" s="5"/>
      <c r="CF385" s="5"/>
      <c r="CG385" s="5"/>
      <c r="CH385" s="5"/>
      <c r="CI385" s="5"/>
    </row>
    <row r="386" ht="14.25" customHeight="1">
      <c r="B386" s="1"/>
      <c r="D386" s="1"/>
      <c r="E386" s="33"/>
      <c r="F386" s="34"/>
      <c r="G386" s="5"/>
      <c r="H386" s="5"/>
      <c r="I386" s="5"/>
      <c r="J386" s="5"/>
      <c r="K386" s="5"/>
      <c r="L386" s="5"/>
      <c r="M386" s="32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5"/>
      <c r="CB386" s="5"/>
      <c r="CC386" s="5"/>
      <c r="CD386" s="5"/>
      <c r="CE386" s="5"/>
      <c r="CF386" s="5"/>
      <c r="CG386" s="5"/>
      <c r="CH386" s="5"/>
      <c r="CI386" s="5"/>
    </row>
    <row r="387" ht="14.25" customHeight="1">
      <c r="B387" s="1"/>
      <c r="D387" s="1"/>
      <c r="E387" s="33"/>
      <c r="F387" s="34"/>
      <c r="G387" s="5"/>
      <c r="H387" s="5"/>
      <c r="I387" s="5"/>
      <c r="J387" s="5"/>
      <c r="K387" s="5"/>
      <c r="L387" s="5"/>
      <c r="M387" s="32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5"/>
      <c r="CB387" s="5"/>
      <c r="CC387" s="5"/>
      <c r="CD387" s="5"/>
      <c r="CE387" s="5"/>
      <c r="CF387" s="5"/>
      <c r="CG387" s="5"/>
      <c r="CH387" s="5"/>
      <c r="CI387" s="5"/>
    </row>
    <row r="388" ht="14.25" customHeight="1">
      <c r="B388" s="1"/>
      <c r="D388" s="1"/>
      <c r="E388" s="33"/>
      <c r="F388" s="34"/>
      <c r="G388" s="5"/>
      <c r="H388" s="5"/>
      <c r="I388" s="5"/>
      <c r="J388" s="5"/>
      <c r="K388" s="5"/>
      <c r="L388" s="5"/>
      <c r="M388" s="32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5"/>
      <c r="CB388" s="5"/>
      <c r="CC388" s="5"/>
      <c r="CD388" s="5"/>
      <c r="CE388" s="5"/>
      <c r="CF388" s="5"/>
      <c r="CG388" s="5"/>
      <c r="CH388" s="5"/>
      <c r="CI388" s="5"/>
    </row>
    <row r="389" ht="14.25" customHeight="1">
      <c r="B389" s="1"/>
      <c r="D389" s="1"/>
      <c r="E389" s="33"/>
      <c r="F389" s="34"/>
      <c r="G389" s="5"/>
      <c r="H389" s="5"/>
      <c r="I389" s="5"/>
      <c r="J389" s="5"/>
      <c r="K389" s="5"/>
      <c r="L389" s="5"/>
      <c r="M389" s="32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/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5"/>
      <c r="CB389" s="5"/>
      <c r="CC389" s="5"/>
      <c r="CD389" s="5"/>
      <c r="CE389" s="5"/>
      <c r="CF389" s="5"/>
      <c r="CG389" s="5"/>
      <c r="CH389" s="5"/>
      <c r="CI389" s="5"/>
    </row>
    <row r="390" ht="14.25" customHeight="1">
      <c r="B390" s="1"/>
      <c r="D390" s="1"/>
      <c r="E390" s="33"/>
      <c r="F390" s="34"/>
      <c r="G390" s="5"/>
      <c r="H390" s="5"/>
      <c r="I390" s="5"/>
      <c r="J390" s="5"/>
      <c r="K390" s="5"/>
      <c r="L390" s="5"/>
      <c r="M390" s="32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/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5"/>
      <c r="CB390" s="5"/>
      <c r="CC390" s="5"/>
      <c r="CD390" s="5"/>
      <c r="CE390" s="5"/>
      <c r="CF390" s="5"/>
      <c r="CG390" s="5"/>
      <c r="CH390" s="5"/>
      <c r="CI390" s="5"/>
    </row>
    <row r="391" ht="14.25" customHeight="1">
      <c r="B391" s="1"/>
      <c r="D391" s="1"/>
      <c r="E391" s="33"/>
      <c r="F391" s="34"/>
      <c r="G391" s="5"/>
      <c r="H391" s="5"/>
      <c r="I391" s="5"/>
      <c r="J391" s="5"/>
      <c r="K391" s="5"/>
      <c r="L391" s="5"/>
      <c r="M391" s="32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/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5"/>
      <c r="CB391" s="5"/>
      <c r="CC391" s="5"/>
      <c r="CD391" s="5"/>
      <c r="CE391" s="5"/>
      <c r="CF391" s="5"/>
      <c r="CG391" s="5"/>
      <c r="CH391" s="5"/>
      <c r="CI391" s="5"/>
    </row>
    <row r="392" ht="14.25" customHeight="1">
      <c r="B392" s="1"/>
      <c r="D392" s="1"/>
      <c r="E392" s="33"/>
      <c r="F392" s="34"/>
      <c r="G392" s="5"/>
      <c r="H392" s="5"/>
      <c r="I392" s="5"/>
      <c r="J392" s="5"/>
      <c r="K392" s="5"/>
      <c r="L392" s="5"/>
      <c r="M392" s="32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/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5"/>
      <c r="CB392" s="5"/>
      <c r="CC392" s="5"/>
      <c r="CD392" s="5"/>
      <c r="CE392" s="5"/>
      <c r="CF392" s="5"/>
      <c r="CG392" s="5"/>
      <c r="CH392" s="5"/>
      <c r="CI392" s="5"/>
    </row>
    <row r="393" ht="14.25" customHeight="1">
      <c r="B393" s="1"/>
      <c r="D393" s="1"/>
      <c r="E393" s="33"/>
      <c r="F393" s="34"/>
      <c r="G393" s="5"/>
      <c r="H393" s="5"/>
      <c r="I393" s="5"/>
      <c r="J393" s="5"/>
      <c r="K393" s="5"/>
      <c r="L393" s="5"/>
      <c r="M393" s="32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/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5"/>
      <c r="CB393" s="5"/>
      <c r="CC393" s="5"/>
      <c r="CD393" s="5"/>
      <c r="CE393" s="5"/>
      <c r="CF393" s="5"/>
      <c r="CG393" s="5"/>
      <c r="CH393" s="5"/>
      <c r="CI393" s="5"/>
    </row>
    <row r="394" ht="14.25" customHeight="1">
      <c r="B394" s="1"/>
      <c r="D394" s="1"/>
      <c r="E394" s="33"/>
      <c r="F394" s="34"/>
      <c r="G394" s="5"/>
      <c r="H394" s="5"/>
      <c r="I394" s="5"/>
      <c r="J394" s="5"/>
      <c r="K394" s="5"/>
      <c r="L394" s="5"/>
      <c r="M394" s="32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/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5"/>
      <c r="CB394" s="5"/>
      <c r="CC394" s="5"/>
      <c r="CD394" s="5"/>
      <c r="CE394" s="5"/>
      <c r="CF394" s="5"/>
      <c r="CG394" s="5"/>
      <c r="CH394" s="5"/>
      <c r="CI394" s="5"/>
    </row>
    <row r="395" ht="14.25" customHeight="1">
      <c r="B395" s="1"/>
      <c r="D395" s="1"/>
      <c r="E395" s="33"/>
      <c r="F395" s="34"/>
      <c r="G395" s="5"/>
      <c r="H395" s="5"/>
      <c r="I395" s="5"/>
      <c r="J395" s="5"/>
      <c r="K395" s="5"/>
      <c r="L395" s="5"/>
      <c r="M395" s="32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/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5"/>
      <c r="CE395" s="5"/>
      <c r="CF395" s="5"/>
      <c r="CG395" s="5"/>
      <c r="CH395" s="5"/>
      <c r="CI395" s="5"/>
    </row>
    <row r="396" ht="14.25" customHeight="1">
      <c r="B396" s="1"/>
      <c r="D396" s="1"/>
      <c r="E396" s="33"/>
      <c r="F396" s="34"/>
      <c r="G396" s="5"/>
      <c r="H396" s="5"/>
      <c r="I396" s="5"/>
      <c r="J396" s="5"/>
      <c r="K396" s="5"/>
      <c r="L396" s="5"/>
      <c r="M396" s="32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/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5"/>
      <c r="CB396" s="5"/>
      <c r="CC396" s="5"/>
      <c r="CD396" s="5"/>
      <c r="CE396" s="5"/>
      <c r="CF396" s="5"/>
      <c r="CG396" s="5"/>
      <c r="CH396" s="5"/>
      <c r="CI396" s="5"/>
    </row>
    <row r="397" ht="14.25" customHeight="1">
      <c r="B397" s="1"/>
      <c r="D397" s="1"/>
      <c r="E397" s="33"/>
      <c r="F397" s="34"/>
      <c r="G397" s="5"/>
      <c r="H397" s="5"/>
      <c r="I397" s="5"/>
      <c r="J397" s="5"/>
      <c r="K397" s="5"/>
      <c r="L397" s="5"/>
      <c r="M397" s="32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/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5"/>
      <c r="CB397" s="5"/>
      <c r="CC397" s="5"/>
      <c r="CD397" s="5"/>
      <c r="CE397" s="5"/>
      <c r="CF397" s="5"/>
      <c r="CG397" s="5"/>
      <c r="CH397" s="5"/>
      <c r="CI397" s="5"/>
    </row>
    <row r="398" ht="14.25" customHeight="1">
      <c r="B398" s="1"/>
      <c r="D398" s="1"/>
      <c r="E398" s="33"/>
      <c r="F398" s="34"/>
      <c r="G398" s="5"/>
      <c r="H398" s="5"/>
      <c r="I398" s="5"/>
      <c r="J398" s="5"/>
      <c r="K398" s="5"/>
      <c r="L398" s="5"/>
      <c r="M398" s="32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/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5"/>
      <c r="CB398" s="5"/>
      <c r="CC398" s="5"/>
      <c r="CD398" s="5"/>
      <c r="CE398" s="5"/>
      <c r="CF398" s="5"/>
      <c r="CG398" s="5"/>
      <c r="CH398" s="5"/>
      <c r="CI398" s="5"/>
    </row>
    <row r="399" ht="14.25" customHeight="1">
      <c r="B399" s="1"/>
      <c r="D399" s="1"/>
      <c r="E399" s="33"/>
      <c r="F399" s="34"/>
      <c r="G399" s="5"/>
      <c r="H399" s="5"/>
      <c r="I399" s="5"/>
      <c r="J399" s="5"/>
      <c r="K399" s="5"/>
      <c r="L399" s="5"/>
      <c r="M399" s="32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/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5"/>
      <c r="CB399" s="5"/>
      <c r="CC399" s="5"/>
      <c r="CD399" s="5"/>
      <c r="CE399" s="5"/>
      <c r="CF399" s="5"/>
      <c r="CG399" s="5"/>
      <c r="CH399" s="5"/>
      <c r="CI399" s="5"/>
    </row>
    <row r="400" ht="14.25" customHeight="1">
      <c r="B400" s="1"/>
      <c r="D400" s="1"/>
      <c r="E400" s="33"/>
      <c r="F400" s="34"/>
      <c r="G400" s="5"/>
      <c r="H400" s="5"/>
      <c r="I400" s="5"/>
      <c r="J400" s="5"/>
      <c r="K400" s="5"/>
      <c r="L400" s="5"/>
      <c r="M400" s="32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/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5"/>
      <c r="CB400" s="5"/>
      <c r="CC400" s="5"/>
      <c r="CD400" s="5"/>
      <c r="CE400" s="5"/>
      <c r="CF400" s="5"/>
      <c r="CG400" s="5"/>
      <c r="CH400" s="5"/>
      <c r="CI400" s="5"/>
    </row>
    <row r="401" ht="14.25" customHeight="1">
      <c r="B401" s="1"/>
      <c r="D401" s="1"/>
      <c r="E401" s="33"/>
      <c r="F401" s="34"/>
      <c r="G401" s="5"/>
      <c r="H401" s="5"/>
      <c r="I401" s="5"/>
      <c r="J401" s="5"/>
      <c r="K401" s="5"/>
      <c r="L401" s="5"/>
      <c r="M401" s="32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/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5"/>
      <c r="CB401" s="5"/>
      <c r="CC401" s="5"/>
      <c r="CD401" s="5"/>
      <c r="CE401" s="5"/>
      <c r="CF401" s="5"/>
      <c r="CG401" s="5"/>
      <c r="CH401" s="5"/>
      <c r="CI401" s="5"/>
    </row>
    <row r="402" ht="14.25" customHeight="1">
      <c r="B402" s="1"/>
      <c r="D402" s="1"/>
      <c r="E402" s="33"/>
      <c r="F402" s="34"/>
      <c r="G402" s="5"/>
      <c r="H402" s="5"/>
      <c r="I402" s="5"/>
      <c r="J402" s="5"/>
      <c r="K402" s="5"/>
      <c r="L402" s="5"/>
      <c r="M402" s="32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/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5"/>
      <c r="CB402" s="5"/>
      <c r="CC402" s="5"/>
      <c r="CD402" s="5"/>
      <c r="CE402" s="5"/>
      <c r="CF402" s="5"/>
      <c r="CG402" s="5"/>
      <c r="CH402" s="5"/>
      <c r="CI402" s="5"/>
    </row>
    <row r="403" ht="14.25" customHeight="1">
      <c r="B403" s="1"/>
      <c r="D403" s="1"/>
      <c r="E403" s="33"/>
      <c r="F403" s="34"/>
      <c r="G403" s="5"/>
      <c r="H403" s="5"/>
      <c r="I403" s="5"/>
      <c r="J403" s="5"/>
      <c r="K403" s="5"/>
      <c r="L403" s="5"/>
      <c r="M403" s="32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/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5"/>
      <c r="CB403" s="5"/>
      <c r="CC403" s="5"/>
      <c r="CD403" s="5"/>
      <c r="CE403" s="5"/>
      <c r="CF403" s="5"/>
      <c r="CG403" s="5"/>
      <c r="CH403" s="5"/>
      <c r="CI403" s="5"/>
    </row>
    <row r="404" ht="14.25" customHeight="1">
      <c r="B404" s="1"/>
      <c r="D404" s="1"/>
      <c r="E404" s="33"/>
      <c r="F404" s="34"/>
      <c r="G404" s="5"/>
      <c r="H404" s="5"/>
      <c r="I404" s="5"/>
      <c r="J404" s="5"/>
      <c r="K404" s="5"/>
      <c r="L404" s="5"/>
      <c r="M404" s="32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/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5"/>
      <c r="CB404" s="5"/>
      <c r="CC404" s="5"/>
      <c r="CD404" s="5"/>
      <c r="CE404" s="5"/>
      <c r="CF404" s="5"/>
      <c r="CG404" s="5"/>
      <c r="CH404" s="5"/>
      <c r="CI404" s="5"/>
    </row>
    <row r="405" ht="14.25" customHeight="1">
      <c r="B405" s="1"/>
      <c r="D405" s="1"/>
      <c r="E405" s="33"/>
      <c r="F405" s="34"/>
      <c r="G405" s="5"/>
      <c r="H405" s="5"/>
      <c r="I405" s="5"/>
      <c r="J405" s="5"/>
      <c r="K405" s="5"/>
      <c r="L405" s="5"/>
      <c r="M405" s="32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/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5"/>
      <c r="CB405" s="5"/>
      <c r="CC405" s="5"/>
      <c r="CD405" s="5"/>
      <c r="CE405" s="5"/>
      <c r="CF405" s="5"/>
      <c r="CG405" s="5"/>
      <c r="CH405" s="5"/>
      <c r="CI405" s="5"/>
    </row>
    <row r="406" ht="14.25" customHeight="1">
      <c r="B406" s="1"/>
      <c r="D406" s="1"/>
      <c r="E406" s="33"/>
      <c r="F406" s="34"/>
      <c r="G406" s="5"/>
      <c r="H406" s="5"/>
      <c r="I406" s="5"/>
      <c r="J406" s="5"/>
      <c r="K406" s="5"/>
      <c r="L406" s="5"/>
      <c r="M406" s="32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/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5"/>
      <c r="CB406" s="5"/>
      <c r="CC406" s="5"/>
      <c r="CD406" s="5"/>
      <c r="CE406" s="5"/>
      <c r="CF406" s="5"/>
      <c r="CG406" s="5"/>
      <c r="CH406" s="5"/>
      <c r="CI406" s="5"/>
    </row>
    <row r="407" ht="14.25" customHeight="1">
      <c r="B407" s="1"/>
      <c r="D407" s="1"/>
      <c r="E407" s="33"/>
      <c r="F407" s="34"/>
      <c r="G407" s="5"/>
      <c r="H407" s="5"/>
      <c r="I407" s="5"/>
      <c r="J407" s="5"/>
      <c r="K407" s="5"/>
      <c r="L407" s="5"/>
      <c r="M407" s="32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/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5"/>
      <c r="CB407" s="5"/>
      <c r="CC407" s="5"/>
      <c r="CD407" s="5"/>
      <c r="CE407" s="5"/>
      <c r="CF407" s="5"/>
      <c r="CG407" s="5"/>
      <c r="CH407" s="5"/>
      <c r="CI407" s="5"/>
    </row>
    <row r="408" ht="14.25" customHeight="1">
      <c r="B408" s="1"/>
      <c r="D408" s="1"/>
      <c r="E408" s="33"/>
      <c r="F408" s="34"/>
      <c r="G408" s="5"/>
      <c r="H408" s="5"/>
      <c r="I408" s="5"/>
      <c r="J408" s="5"/>
      <c r="K408" s="5"/>
      <c r="L408" s="5"/>
      <c r="M408" s="32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/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5"/>
      <c r="CB408" s="5"/>
      <c r="CC408" s="5"/>
      <c r="CD408" s="5"/>
      <c r="CE408" s="5"/>
      <c r="CF408" s="5"/>
      <c r="CG408" s="5"/>
      <c r="CH408" s="5"/>
      <c r="CI408" s="5"/>
    </row>
    <row r="409" ht="14.25" customHeight="1">
      <c r="B409" s="1"/>
      <c r="D409" s="1"/>
      <c r="E409" s="33"/>
      <c r="F409" s="34"/>
      <c r="G409" s="5"/>
      <c r="H409" s="5"/>
      <c r="I409" s="5"/>
      <c r="J409" s="5"/>
      <c r="K409" s="5"/>
      <c r="L409" s="5"/>
      <c r="M409" s="32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/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5"/>
      <c r="CB409" s="5"/>
      <c r="CC409" s="5"/>
      <c r="CD409" s="5"/>
      <c r="CE409" s="5"/>
      <c r="CF409" s="5"/>
      <c r="CG409" s="5"/>
      <c r="CH409" s="5"/>
      <c r="CI409" s="5"/>
    </row>
    <row r="410" ht="14.25" customHeight="1">
      <c r="B410" s="1"/>
      <c r="D410" s="1"/>
      <c r="E410" s="33"/>
      <c r="F410" s="34"/>
      <c r="G410" s="5"/>
      <c r="H410" s="5"/>
      <c r="I410" s="5"/>
      <c r="J410" s="5"/>
      <c r="K410" s="5"/>
      <c r="L410" s="5"/>
      <c r="M410" s="32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/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5"/>
      <c r="CB410" s="5"/>
      <c r="CC410" s="5"/>
      <c r="CD410" s="5"/>
      <c r="CE410" s="5"/>
      <c r="CF410" s="5"/>
      <c r="CG410" s="5"/>
      <c r="CH410" s="5"/>
      <c r="CI410" s="5"/>
    </row>
    <row r="411" ht="14.25" customHeight="1">
      <c r="B411" s="1"/>
      <c r="D411" s="1"/>
      <c r="E411" s="33"/>
      <c r="F411" s="34"/>
      <c r="G411" s="5"/>
      <c r="H411" s="5"/>
      <c r="I411" s="5"/>
      <c r="J411" s="5"/>
      <c r="K411" s="5"/>
      <c r="L411" s="5"/>
      <c r="M411" s="32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/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5"/>
      <c r="CB411" s="5"/>
      <c r="CC411" s="5"/>
      <c r="CD411" s="5"/>
      <c r="CE411" s="5"/>
      <c r="CF411" s="5"/>
      <c r="CG411" s="5"/>
      <c r="CH411" s="5"/>
      <c r="CI411" s="5"/>
    </row>
    <row r="412" ht="14.25" customHeight="1">
      <c r="B412" s="1"/>
      <c r="D412" s="1"/>
      <c r="E412" s="33"/>
      <c r="F412" s="34"/>
      <c r="G412" s="5"/>
      <c r="H412" s="5"/>
      <c r="I412" s="5"/>
      <c r="J412" s="5"/>
      <c r="K412" s="5"/>
      <c r="L412" s="5"/>
      <c r="M412" s="32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/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5"/>
      <c r="CB412" s="5"/>
      <c r="CC412" s="5"/>
      <c r="CD412" s="5"/>
      <c r="CE412" s="5"/>
      <c r="CF412" s="5"/>
      <c r="CG412" s="5"/>
      <c r="CH412" s="5"/>
      <c r="CI412" s="5"/>
    </row>
    <row r="413" ht="14.25" customHeight="1">
      <c r="B413" s="1"/>
      <c r="D413" s="1"/>
      <c r="E413" s="33"/>
      <c r="F413" s="34"/>
      <c r="G413" s="5"/>
      <c r="H413" s="5"/>
      <c r="I413" s="5"/>
      <c r="J413" s="5"/>
      <c r="K413" s="5"/>
      <c r="L413" s="5"/>
      <c r="M413" s="32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/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5"/>
      <c r="CB413" s="5"/>
      <c r="CC413" s="5"/>
      <c r="CD413" s="5"/>
      <c r="CE413" s="5"/>
      <c r="CF413" s="5"/>
      <c r="CG413" s="5"/>
      <c r="CH413" s="5"/>
      <c r="CI413" s="5"/>
    </row>
    <row r="414" ht="14.25" customHeight="1">
      <c r="B414" s="1"/>
      <c r="D414" s="1"/>
      <c r="E414" s="33"/>
      <c r="F414" s="34"/>
      <c r="G414" s="5"/>
      <c r="H414" s="5"/>
      <c r="I414" s="5"/>
      <c r="J414" s="5"/>
      <c r="K414" s="5"/>
      <c r="L414" s="5"/>
      <c r="M414" s="32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/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5"/>
      <c r="CB414" s="5"/>
      <c r="CC414" s="5"/>
      <c r="CD414" s="5"/>
      <c r="CE414" s="5"/>
      <c r="CF414" s="5"/>
      <c r="CG414" s="5"/>
      <c r="CH414" s="5"/>
      <c r="CI414" s="5"/>
    </row>
    <row r="415" ht="14.25" customHeight="1">
      <c r="B415" s="1"/>
      <c r="D415" s="1"/>
      <c r="E415" s="33"/>
      <c r="F415" s="34"/>
      <c r="G415" s="5"/>
      <c r="H415" s="5"/>
      <c r="I415" s="5"/>
      <c r="J415" s="5"/>
      <c r="K415" s="5"/>
      <c r="L415" s="5"/>
      <c r="M415" s="32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/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5"/>
      <c r="CB415" s="5"/>
      <c r="CC415" s="5"/>
      <c r="CD415" s="5"/>
      <c r="CE415" s="5"/>
      <c r="CF415" s="5"/>
      <c r="CG415" s="5"/>
      <c r="CH415" s="5"/>
      <c r="CI415" s="5"/>
    </row>
    <row r="416" ht="14.25" customHeight="1">
      <c r="B416" s="1"/>
      <c r="D416" s="1"/>
      <c r="E416" s="33"/>
      <c r="F416" s="34"/>
      <c r="G416" s="5"/>
      <c r="H416" s="5"/>
      <c r="I416" s="5"/>
      <c r="J416" s="5"/>
      <c r="K416" s="5"/>
      <c r="L416" s="5"/>
      <c r="M416" s="32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/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5"/>
      <c r="CB416" s="5"/>
      <c r="CC416" s="5"/>
      <c r="CD416" s="5"/>
      <c r="CE416" s="5"/>
      <c r="CF416" s="5"/>
      <c r="CG416" s="5"/>
      <c r="CH416" s="5"/>
      <c r="CI416" s="5"/>
    </row>
    <row r="417" ht="14.25" customHeight="1">
      <c r="B417" s="1"/>
      <c r="D417" s="1"/>
      <c r="E417" s="33"/>
      <c r="F417" s="34"/>
      <c r="G417" s="5"/>
      <c r="H417" s="5"/>
      <c r="I417" s="5"/>
      <c r="J417" s="5"/>
      <c r="K417" s="5"/>
      <c r="L417" s="5"/>
      <c r="M417" s="32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/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5"/>
      <c r="CB417" s="5"/>
      <c r="CC417" s="5"/>
      <c r="CD417" s="5"/>
      <c r="CE417" s="5"/>
      <c r="CF417" s="5"/>
      <c r="CG417" s="5"/>
      <c r="CH417" s="5"/>
      <c r="CI417" s="5"/>
    </row>
    <row r="418" ht="14.25" customHeight="1">
      <c r="B418" s="1"/>
      <c r="D418" s="1"/>
      <c r="E418" s="33"/>
      <c r="F418" s="34"/>
      <c r="G418" s="5"/>
      <c r="H418" s="5"/>
      <c r="I418" s="5"/>
      <c r="J418" s="5"/>
      <c r="K418" s="5"/>
      <c r="L418" s="5"/>
      <c r="M418" s="32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/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5"/>
      <c r="CB418" s="5"/>
      <c r="CC418" s="5"/>
      <c r="CD418" s="5"/>
      <c r="CE418" s="5"/>
      <c r="CF418" s="5"/>
      <c r="CG418" s="5"/>
      <c r="CH418" s="5"/>
      <c r="CI418" s="5"/>
    </row>
    <row r="419" ht="14.25" customHeight="1">
      <c r="B419" s="1"/>
      <c r="D419" s="1"/>
      <c r="E419" s="33"/>
      <c r="F419" s="34"/>
      <c r="G419" s="5"/>
      <c r="H419" s="5"/>
      <c r="I419" s="5"/>
      <c r="J419" s="5"/>
      <c r="K419" s="5"/>
      <c r="L419" s="5"/>
      <c r="M419" s="32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/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5"/>
      <c r="CB419" s="5"/>
      <c r="CC419" s="5"/>
      <c r="CD419" s="5"/>
      <c r="CE419" s="5"/>
      <c r="CF419" s="5"/>
      <c r="CG419" s="5"/>
      <c r="CH419" s="5"/>
      <c r="CI419" s="5"/>
    </row>
    <row r="420" ht="14.25" customHeight="1">
      <c r="B420" s="1"/>
      <c r="D420" s="1"/>
      <c r="E420" s="33"/>
      <c r="F420" s="34"/>
      <c r="G420" s="5"/>
      <c r="H420" s="5"/>
      <c r="I420" s="5"/>
      <c r="J420" s="5"/>
      <c r="K420" s="5"/>
      <c r="L420" s="5"/>
      <c r="M420" s="32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/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5"/>
      <c r="CB420" s="5"/>
      <c r="CC420" s="5"/>
      <c r="CD420" s="5"/>
      <c r="CE420" s="5"/>
      <c r="CF420" s="5"/>
      <c r="CG420" s="5"/>
      <c r="CH420" s="5"/>
      <c r="CI420" s="5"/>
    </row>
    <row r="421" ht="14.25" customHeight="1">
      <c r="B421" s="1"/>
      <c r="D421" s="1"/>
      <c r="E421" s="33"/>
      <c r="F421" s="34"/>
      <c r="G421" s="5"/>
      <c r="H421" s="5"/>
      <c r="I421" s="5"/>
      <c r="J421" s="5"/>
      <c r="K421" s="5"/>
      <c r="L421" s="5"/>
      <c r="M421" s="32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/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5"/>
      <c r="CB421" s="5"/>
      <c r="CC421" s="5"/>
      <c r="CD421" s="5"/>
      <c r="CE421" s="5"/>
      <c r="CF421" s="5"/>
      <c r="CG421" s="5"/>
      <c r="CH421" s="5"/>
      <c r="CI421" s="5"/>
    </row>
    <row r="422" ht="14.25" customHeight="1">
      <c r="B422" s="1"/>
      <c r="D422" s="1"/>
      <c r="E422" s="33"/>
      <c r="F422" s="34"/>
      <c r="G422" s="5"/>
      <c r="H422" s="5"/>
      <c r="I422" s="5"/>
      <c r="J422" s="5"/>
      <c r="K422" s="5"/>
      <c r="L422" s="5"/>
      <c r="M422" s="32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/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5"/>
      <c r="CB422" s="5"/>
      <c r="CC422" s="5"/>
      <c r="CD422" s="5"/>
      <c r="CE422" s="5"/>
      <c r="CF422" s="5"/>
      <c r="CG422" s="5"/>
      <c r="CH422" s="5"/>
      <c r="CI422" s="5"/>
    </row>
    <row r="423" ht="14.25" customHeight="1">
      <c r="B423" s="1"/>
      <c r="D423" s="1"/>
      <c r="E423" s="33"/>
      <c r="F423" s="34"/>
      <c r="G423" s="5"/>
      <c r="H423" s="5"/>
      <c r="I423" s="5"/>
      <c r="J423" s="5"/>
      <c r="K423" s="5"/>
      <c r="L423" s="5"/>
      <c r="M423" s="32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/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5"/>
      <c r="CB423" s="5"/>
      <c r="CC423" s="5"/>
      <c r="CD423" s="5"/>
      <c r="CE423" s="5"/>
      <c r="CF423" s="5"/>
      <c r="CG423" s="5"/>
      <c r="CH423" s="5"/>
      <c r="CI423" s="5"/>
    </row>
    <row r="424" ht="14.25" customHeight="1">
      <c r="B424" s="1"/>
      <c r="D424" s="1"/>
      <c r="E424" s="33"/>
      <c r="F424" s="34"/>
      <c r="G424" s="5"/>
      <c r="H424" s="5"/>
      <c r="I424" s="5"/>
      <c r="J424" s="5"/>
      <c r="K424" s="5"/>
      <c r="L424" s="5"/>
      <c r="M424" s="32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/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5"/>
      <c r="CB424" s="5"/>
      <c r="CC424" s="5"/>
      <c r="CD424" s="5"/>
      <c r="CE424" s="5"/>
      <c r="CF424" s="5"/>
      <c r="CG424" s="5"/>
      <c r="CH424" s="5"/>
      <c r="CI424" s="5"/>
    </row>
    <row r="425" ht="14.25" customHeight="1">
      <c r="B425" s="1"/>
      <c r="D425" s="1"/>
      <c r="E425" s="33"/>
      <c r="F425" s="34"/>
      <c r="G425" s="5"/>
      <c r="H425" s="5"/>
      <c r="I425" s="5"/>
      <c r="J425" s="5"/>
      <c r="K425" s="5"/>
      <c r="L425" s="5"/>
      <c r="M425" s="32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/>
      <c r="BE425" s="5"/>
      <c r="BF425" s="5"/>
      <c r="BG425" s="5"/>
      <c r="BH425" s="5"/>
      <c r="BI425" s="5"/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5"/>
      <c r="CB425" s="5"/>
      <c r="CC425" s="5"/>
      <c r="CD425" s="5"/>
      <c r="CE425" s="5"/>
      <c r="CF425" s="5"/>
      <c r="CG425" s="5"/>
      <c r="CH425" s="5"/>
      <c r="CI425" s="5"/>
    </row>
    <row r="426" ht="14.25" customHeight="1">
      <c r="B426" s="1"/>
      <c r="D426" s="1"/>
      <c r="E426" s="33"/>
      <c r="F426" s="34"/>
      <c r="G426" s="5"/>
      <c r="H426" s="5"/>
      <c r="I426" s="5"/>
      <c r="J426" s="5"/>
      <c r="K426" s="5"/>
      <c r="L426" s="5"/>
      <c r="M426" s="32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/>
      <c r="BE426" s="5"/>
      <c r="BF426" s="5"/>
      <c r="BG426" s="5"/>
      <c r="BH426" s="5"/>
      <c r="BI426" s="5"/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5"/>
      <c r="CB426" s="5"/>
      <c r="CC426" s="5"/>
      <c r="CD426" s="5"/>
      <c r="CE426" s="5"/>
      <c r="CF426" s="5"/>
      <c r="CG426" s="5"/>
      <c r="CH426" s="5"/>
      <c r="CI426" s="5"/>
    </row>
    <row r="427" ht="14.25" customHeight="1">
      <c r="B427" s="1"/>
      <c r="D427" s="1"/>
      <c r="E427" s="33"/>
      <c r="F427" s="34"/>
      <c r="G427" s="5"/>
      <c r="H427" s="5"/>
      <c r="I427" s="5"/>
      <c r="J427" s="5"/>
      <c r="K427" s="5"/>
      <c r="L427" s="5"/>
      <c r="M427" s="32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/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5"/>
      <c r="CB427" s="5"/>
      <c r="CC427" s="5"/>
      <c r="CD427" s="5"/>
      <c r="CE427" s="5"/>
      <c r="CF427" s="5"/>
      <c r="CG427" s="5"/>
      <c r="CH427" s="5"/>
      <c r="CI427" s="5"/>
    </row>
    <row r="428" ht="14.25" customHeight="1">
      <c r="B428" s="1"/>
      <c r="D428" s="1"/>
      <c r="E428" s="33"/>
      <c r="F428" s="34"/>
      <c r="G428" s="5"/>
      <c r="H428" s="5"/>
      <c r="I428" s="5"/>
      <c r="J428" s="5"/>
      <c r="K428" s="5"/>
      <c r="L428" s="5"/>
      <c r="M428" s="32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/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5"/>
      <c r="CB428" s="5"/>
      <c r="CC428" s="5"/>
      <c r="CD428" s="5"/>
      <c r="CE428" s="5"/>
      <c r="CF428" s="5"/>
      <c r="CG428" s="5"/>
      <c r="CH428" s="5"/>
      <c r="CI428" s="5"/>
    </row>
    <row r="429" ht="14.25" customHeight="1">
      <c r="B429" s="1"/>
      <c r="D429" s="1"/>
      <c r="E429" s="33"/>
      <c r="F429" s="34"/>
      <c r="G429" s="5"/>
      <c r="H429" s="5"/>
      <c r="I429" s="5"/>
      <c r="J429" s="5"/>
      <c r="K429" s="5"/>
      <c r="L429" s="5"/>
      <c r="M429" s="32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5"/>
      <c r="CB429" s="5"/>
      <c r="CC429" s="5"/>
      <c r="CD429" s="5"/>
      <c r="CE429" s="5"/>
      <c r="CF429" s="5"/>
      <c r="CG429" s="5"/>
      <c r="CH429" s="5"/>
      <c r="CI429" s="5"/>
    </row>
    <row r="430" ht="14.25" customHeight="1">
      <c r="B430" s="1"/>
      <c r="D430" s="1"/>
      <c r="E430" s="33"/>
      <c r="F430" s="34"/>
      <c r="G430" s="5"/>
      <c r="H430" s="5"/>
      <c r="I430" s="5"/>
      <c r="J430" s="5"/>
      <c r="K430" s="5"/>
      <c r="L430" s="5"/>
      <c r="M430" s="32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/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5"/>
      <c r="CB430" s="5"/>
      <c r="CC430" s="5"/>
      <c r="CD430" s="5"/>
      <c r="CE430" s="5"/>
      <c r="CF430" s="5"/>
      <c r="CG430" s="5"/>
      <c r="CH430" s="5"/>
      <c r="CI430" s="5"/>
    </row>
    <row r="431" ht="14.25" customHeight="1">
      <c r="B431" s="1"/>
      <c r="D431" s="1"/>
      <c r="E431" s="33"/>
      <c r="F431" s="34"/>
      <c r="G431" s="5"/>
      <c r="H431" s="5"/>
      <c r="I431" s="5"/>
      <c r="J431" s="5"/>
      <c r="K431" s="5"/>
      <c r="L431" s="5"/>
      <c r="M431" s="32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/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5"/>
      <c r="CB431" s="5"/>
      <c r="CC431" s="5"/>
      <c r="CD431" s="5"/>
      <c r="CE431" s="5"/>
      <c r="CF431" s="5"/>
      <c r="CG431" s="5"/>
      <c r="CH431" s="5"/>
      <c r="CI431" s="5"/>
    </row>
    <row r="432" ht="14.25" customHeight="1">
      <c r="B432" s="1"/>
      <c r="D432" s="1"/>
      <c r="E432" s="33"/>
      <c r="F432" s="34"/>
      <c r="G432" s="5"/>
      <c r="H432" s="5"/>
      <c r="I432" s="5"/>
      <c r="J432" s="5"/>
      <c r="K432" s="5"/>
      <c r="L432" s="5"/>
      <c r="M432" s="32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/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5"/>
      <c r="CB432" s="5"/>
      <c r="CC432" s="5"/>
      <c r="CD432" s="5"/>
      <c r="CE432" s="5"/>
      <c r="CF432" s="5"/>
      <c r="CG432" s="5"/>
      <c r="CH432" s="5"/>
      <c r="CI432" s="5"/>
    </row>
    <row r="433" ht="14.25" customHeight="1">
      <c r="B433" s="1"/>
      <c r="D433" s="1"/>
      <c r="E433" s="33"/>
      <c r="F433" s="34"/>
      <c r="G433" s="5"/>
      <c r="H433" s="5"/>
      <c r="I433" s="5"/>
      <c r="J433" s="5"/>
      <c r="K433" s="5"/>
      <c r="L433" s="5"/>
      <c r="M433" s="32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/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5"/>
      <c r="CB433" s="5"/>
      <c r="CC433" s="5"/>
      <c r="CD433" s="5"/>
      <c r="CE433" s="5"/>
      <c r="CF433" s="5"/>
      <c r="CG433" s="5"/>
      <c r="CH433" s="5"/>
      <c r="CI433" s="5"/>
    </row>
    <row r="434" ht="14.25" customHeight="1">
      <c r="B434" s="1"/>
      <c r="D434" s="1"/>
      <c r="E434" s="33"/>
      <c r="F434" s="34"/>
      <c r="G434" s="5"/>
      <c r="H434" s="5"/>
      <c r="I434" s="5"/>
      <c r="J434" s="5"/>
      <c r="K434" s="5"/>
      <c r="L434" s="5"/>
      <c r="M434" s="32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/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5"/>
      <c r="CB434" s="5"/>
      <c r="CC434" s="5"/>
      <c r="CD434" s="5"/>
      <c r="CE434" s="5"/>
      <c r="CF434" s="5"/>
      <c r="CG434" s="5"/>
      <c r="CH434" s="5"/>
      <c r="CI434" s="5"/>
    </row>
    <row r="435" ht="14.25" customHeight="1">
      <c r="B435" s="1"/>
      <c r="D435" s="1"/>
      <c r="E435" s="33"/>
      <c r="F435" s="34"/>
      <c r="G435" s="5"/>
      <c r="H435" s="5"/>
      <c r="I435" s="5"/>
      <c r="J435" s="5"/>
      <c r="K435" s="5"/>
      <c r="L435" s="5"/>
      <c r="M435" s="32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/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5"/>
      <c r="CB435" s="5"/>
      <c r="CC435" s="5"/>
      <c r="CD435" s="5"/>
      <c r="CE435" s="5"/>
      <c r="CF435" s="5"/>
      <c r="CG435" s="5"/>
      <c r="CH435" s="5"/>
      <c r="CI435" s="5"/>
    </row>
    <row r="436" ht="14.25" customHeight="1">
      <c r="B436" s="1"/>
      <c r="D436" s="1"/>
      <c r="E436" s="33"/>
      <c r="F436" s="34"/>
      <c r="G436" s="5"/>
      <c r="H436" s="5"/>
      <c r="I436" s="5"/>
      <c r="J436" s="5"/>
      <c r="K436" s="5"/>
      <c r="L436" s="5"/>
      <c r="M436" s="32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/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5"/>
      <c r="CB436" s="5"/>
      <c r="CC436" s="5"/>
      <c r="CD436" s="5"/>
      <c r="CE436" s="5"/>
      <c r="CF436" s="5"/>
      <c r="CG436" s="5"/>
      <c r="CH436" s="5"/>
      <c r="CI436" s="5"/>
    </row>
    <row r="437" ht="14.25" customHeight="1">
      <c r="B437" s="1"/>
      <c r="D437" s="1"/>
      <c r="E437" s="33"/>
      <c r="F437" s="34"/>
      <c r="G437" s="5"/>
      <c r="H437" s="5"/>
      <c r="I437" s="5"/>
      <c r="J437" s="5"/>
      <c r="K437" s="5"/>
      <c r="L437" s="5"/>
      <c r="M437" s="32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/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5"/>
      <c r="CB437" s="5"/>
      <c r="CC437" s="5"/>
      <c r="CD437" s="5"/>
      <c r="CE437" s="5"/>
      <c r="CF437" s="5"/>
      <c r="CG437" s="5"/>
      <c r="CH437" s="5"/>
      <c r="CI437" s="5"/>
    </row>
    <row r="438" ht="14.25" customHeight="1">
      <c r="B438" s="1"/>
      <c r="D438" s="1"/>
      <c r="E438" s="33"/>
      <c r="F438" s="34"/>
      <c r="G438" s="5"/>
      <c r="H438" s="5"/>
      <c r="I438" s="5"/>
      <c r="J438" s="5"/>
      <c r="K438" s="5"/>
      <c r="L438" s="5"/>
      <c r="M438" s="32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/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5"/>
      <c r="CB438" s="5"/>
      <c r="CC438" s="5"/>
      <c r="CD438" s="5"/>
      <c r="CE438" s="5"/>
      <c r="CF438" s="5"/>
      <c r="CG438" s="5"/>
      <c r="CH438" s="5"/>
      <c r="CI438" s="5"/>
    </row>
    <row r="439" ht="14.25" customHeight="1">
      <c r="B439" s="1"/>
      <c r="D439" s="1"/>
      <c r="E439" s="33"/>
      <c r="F439" s="34"/>
      <c r="G439" s="5"/>
      <c r="H439" s="5"/>
      <c r="I439" s="5"/>
      <c r="J439" s="5"/>
      <c r="K439" s="5"/>
      <c r="L439" s="5"/>
      <c r="M439" s="32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/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5"/>
      <c r="CB439" s="5"/>
      <c r="CC439" s="5"/>
      <c r="CD439" s="5"/>
      <c r="CE439" s="5"/>
      <c r="CF439" s="5"/>
      <c r="CG439" s="5"/>
      <c r="CH439" s="5"/>
      <c r="CI439" s="5"/>
    </row>
    <row r="440" ht="14.25" customHeight="1">
      <c r="B440" s="1"/>
      <c r="D440" s="1"/>
      <c r="E440" s="33"/>
      <c r="F440" s="34"/>
      <c r="G440" s="5"/>
      <c r="H440" s="5"/>
      <c r="I440" s="5"/>
      <c r="J440" s="5"/>
      <c r="K440" s="5"/>
      <c r="L440" s="5"/>
      <c r="M440" s="32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/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5"/>
      <c r="CB440" s="5"/>
      <c r="CC440" s="5"/>
      <c r="CD440" s="5"/>
      <c r="CE440" s="5"/>
      <c r="CF440" s="5"/>
      <c r="CG440" s="5"/>
      <c r="CH440" s="5"/>
      <c r="CI440" s="5"/>
    </row>
    <row r="441" ht="14.25" customHeight="1">
      <c r="B441" s="1"/>
      <c r="D441" s="1"/>
      <c r="E441" s="33"/>
      <c r="F441" s="34"/>
      <c r="G441" s="5"/>
      <c r="H441" s="5"/>
      <c r="I441" s="5"/>
      <c r="J441" s="5"/>
      <c r="K441" s="5"/>
      <c r="L441" s="5"/>
      <c r="M441" s="32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/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5"/>
      <c r="CB441" s="5"/>
      <c r="CC441" s="5"/>
      <c r="CD441" s="5"/>
      <c r="CE441" s="5"/>
      <c r="CF441" s="5"/>
      <c r="CG441" s="5"/>
      <c r="CH441" s="5"/>
      <c r="CI441" s="5"/>
    </row>
    <row r="442" ht="14.25" customHeight="1">
      <c r="B442" s="1"/>
      <c r="D442" s="1"/>
      <c r="E442" s="33"/>
      <c r="F442" s="34"/>
      <c r="G442" s="5"/>
      <c r="H442" s="5"/>
      <c r="I442" s="5"/>
      <c r="J442" s="5"/>
      <c r="K442" s="5"/>
      <c r="L442" s="5"/>
      <c r="M442" s="32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/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5"/>
      <c r="CB442" s="5"/>
      <c r="CC442" s="5"/>
      <c r="CD442" s="5"/>
      <c r="CE442" s="5"/>
      <c r="CF442" s="5"/>
      <c r="CG442" s="5"/>
      <c r="CH442" s="5"/>
      <c r="CI442" s="5"/>
    </row>
    <row r="443" ht="14.25" customHeight="1">
      <c r="B443" s="1"/>
      <c r="D443" s="1"/>
      <c r="E443" s="33"/>
      <c r="F443" s="34"/>
      <c r="G443" s="5"/>
      <c r="H443" s="5"/>
      <c r="I443" s="5"/>
      <c r="J443" s="5"/>
      <c r="K443" s="5"/>
      <c r="L443" s="5"/>
      <c r="M443" s="32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/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5"/>
      <c r="CB443" s="5"/>
      <c r="CC443" s="5"/>
      <c r="CD443" s="5"/>
      <c r="CE443" s="5"/>
      <c r="CF443" s="5"/>
      <c r="CG443" s="5"/>
      <c r="CH443" s="5"/>
      <c r="CI443" s="5"/>
    </row>
    <row r="444" ht="14.25" customHeight="1">
      <c r="B444" s="1"/>
      <c r="D444" s="1"/>
      <c r="E444" s="33"/>
      <c r="F444" s="34"/>
      <c r="G444" s="5"/>
      <c r="H444" s="5"/>
      <c r="I444" s="5"/>
      <c r="J444" s="5"/>
      <c r="K444" s="5"/>
      <c r="L444" s="5"/>
      <c r="M444" s="32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/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5"/>
      <c r="CB444" s="5"/>
      <c r="CC444" s="5"/>
      <c r="CD444" s="5"/>
      <c r="CE444" s="5"/>
      <c r="CF444" s="5"/>
      <c r="CG444" s="5"/>
      <c r="CH444" s="5"/>
      <c r="CI444" s="5"/>
    </row>
    <row r="445" ht="14.25" customHeight="1">
      <c r="B445" s="1"/>
      <c r="D445" s="1"/>
      <c r="E445" s="33"/>
      <c r="F445" s="34"/>
      <c r="G445" s="5"/>
      <c r="H445" s="5"/>
      <c r="I445" s="5"/>
      <c r="J445" s="5"/>
      <c r="K445" s="5"/>
      <c r="L445" s="5"/>
      <c r="M445" s="32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/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5"/>
      <c r="CB445" s="5"/>
      <c r="CC445" s="5"/>
      <c r="CD445" s="5"/>
      <c r="CE445" s="5"/>
      <c r="CF445" s="5"/>
      <c r="CG445" s="5"/>
      <c r="CH445" s="5"/>
      <c r="CI445" s="5"/>
    </row>
    <row r="446" ht="14.25" customHeight="1">
      <c r="B446" s="1"/>
      <c r="D446" s="1"/>
      <c r="E446" s="33"/>
      <c r="F446" s="34"/>
      <c r="G446" s="5"/>
      <c r="H446" s="5"/>
      <c r="I446" s="5"/>
      <c r="J446" s="5"/>
      <c r="K446" s="5"/>
      <c r="L446" s="5"/>
      <c r="M446" s="32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/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5"/>
      <c r="CB446" s="5"/>
      <c r="CC446" s="5"/>
      <c r="CD446" s="5"/>
      <c r="CE446" s="5"/>
      <c r="CF446" s="5"/>
      <c r="CG446" s="5"/>
      <c r="CH446" s="5"/>
      <c r="CI446" s="5"/>
    </row>
    <row r="447" ht="14.25" customHeight="1">
      <c r="B447" s="1"/>
      <c r="D447" s="1"/>
      <c r="E447" s="33"/>
      <c r="F447" s="34"/>
      <c r="G447" s="5"/>
      <c r="H447" s="5"/>
      <c r="I447" s="5"/>
      <c r="J447" s="5"/>
      <c r="K447" s="5"/>
      <c r="L447" s="5"/>
      <c r="M447" s="32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/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5"/>
      <c r="CB447" s="5"/>
      <c r="CC447" s="5"/>
      <c r="CD447" s="5"/>
      <c r="CE447" s="5"/>
      <c r="CF447" s="5"/>
      <c r="CG447" s="5"/>
      <c r="CH447" s="5"/>
      <c r="CI447" s="5"/>
    </row>
    <row r="448" ht="14.25" customHeight="1">
      <c r="B448" s="1"/>
      <c r="D448" s="1"/>
      <c r="E448" s="33"/>
      <c r="F448" s="34"/>
      <c r="G448" s="5"/>
      <c r="H448" s="5"/>
      <c r="I448" s="5"/>
      <c r="J448" s="5"/>
      <c r="K448" s="5"/>
      <c r="L448" s="5"/>
      <c r="M448" s="32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/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5"/>
      <c r="CB448" s="5"/>
      <c r="CC448" s="5"/>
      <c r="CD448" s="5"/>
      <c r="CE448" s="5"/>
      <c r="CF448" s="5"/>
      <c r="CG448" s="5"/>
      <c r="CH448" s="5"/>
      <c r="CI448" s="5"/>
    </row>
    <row r="449" ht="14.25" customHeight="1">
      <c r="B449" s="1"/>
      <c r="D449" s="1"/>
      <c r="E449" s="33"/>
      <c r="F449" s="34"/>
      <c r="G449" s="5"/>
      <c r="H449" s="5"/>
      <c r="I449" s="5"/>
      <c r="J449" s="5"/>
      <c r="K449" s="5"/>
      <c r="L449" s="5"/>
      <c r="M449" s="32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/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5"/>
      <c r="CB449" s="5"/>
      <c r="CC449" s="5"/>
      <c r="CD449" s="5"/>
      <c r="CE449" s="5"/>
      <c r="CF449" s="5"/>
      <c r="CG449" s="5"/>
      <c r="CH449" s="5"/>
      <c r="CI449" s="5"/>
    </row>
    <row r="450" ht="14.25" customHeight="1">
      <c r="B450" s="1"/>
      <c r="D450" s="1"/>
      <c r="E450" s="33"/>
      <c r="F450" s="34"/>
      <c r="G450" s="5"/>
      <c r="H450" s="5"/>
      <c r="I450" s="5"/>
      <c r="J450" s="5"/>
      <c r="K450" s="5"/>
      <c r="L450" s="5"/>
      <c r="M450" s="32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/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5"/>
      <c r="CB450" s="5"/>
      <c r="CC450" s="5"/>
      <c r="CD450" s="5"/>
      <c r="CE450" s="5"/>
      <c r="CF450" s="5"/>
      <c r="CG450" s="5"/>
      <c r="CH450" s="5"/>
      <c r="CI450" s="5"/>
    </row>
    <row r="451" ht="14.25" customHeight="1">
      <c r="B451" s="1"/>
      <c r="D451" s="1"/>
      <c r="E451" s="33"/>
      <c r="F451" s="34"/>
      <c r="G451" s="5"/>
      <c r="H451" s="5"/>
      <c r="I451" s="5"/>
      <c r="J451" s="5"/>
      <c r="K451" s="5"/>
      <c r="L451" s="5"/>
      <c r="M451" s="32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/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5"/>
      <c r="CB451" s="5"/>
      <c r="CC451" s="5"/>
      <c r="CD451" s="5"/>
      <c r="CE451" s="5"/>
      <c r="CF451" s="5"/>
      <c r="CG451" s="5"/>
      <c r="CH451" s="5"/>
      <c r="CI451" s="5"/>
    </row>
    <row r="452" ht="14.25" customHeight="1">
      <c r="B452" s="1"/>
      <c r="D452" s="1"/>
      <c r="E452" s="33"/>
      <c r="F452" s="34"/>
      <c r="G452" s="5"/>
      <c r="H452" s="5"/>
      <c r="I452" s="5"/>
      <c r="J452" s="5"/>
      <c r="K452" s="5"/>
      <c r="L452" s="5"/>
      <c r="M452" s="32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/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5"/>
      <c r="CB452" s="5"/>
      <c r="CC452" s="5"/>
      <c r="CD452" s="5"/>
      <c r="CE452" s="5"/>
      <c r="CF452" s="5"/>
      <c r="CG452" s="5"/>
      <c r="CH452" s="5"/>
      <c r="CI452" s="5"/>
    </row>
    <row r="453" ht="14.25" customHeight="1">
      <c r="B453" s="1"/>
      <c r="D453" s="1"/>
      <c r="E453" s="33"/>
      <c r="F453" s="34"/>
      <c r="G453" s="5"/>
      <c r="H453" s="5"/>
      <c r="I453" s="5"/>
      <c r="J453" s="5"/>
      <c r="K453" s="5"/>
      <c r="L453" s="5"/>
      <c r="M453" s="32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/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5"/>
      <c r="CB453" s="5"/>
      <c r="CC453" s="5"/>
      <c r="CD453" s="5"/>
      <c r="CE453" s="5"/>
      <c r="CF453" s="5"/>
      <c r="CG453" s="5"/>
      <c r="CH453" s="5"/>
      <c r="CI453" s="5"/>
    </row>
    <row r="454" ht="14.25" customHeight="1">
      <c r="B454" s="1"/>
      <c r="D454" s="1"/>
      <c r="E454" s="33"/>
      <c r="F454" s="34"/>
      <c r="G454" s="5"/>
      <c r="H454" s="5"/>
      <c r="I454" s="5"/>
      <c r="J454" s="5"/>
      <c r="K454" s="5"/>
      <c r="L454" s="5"/>
      <c r="M454" s="32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/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5"/>
      <c r="CB454" s="5"/>
      <c r="CC454" s="5"/>
      <c r="CD454" s="5"/>
      <c r="CE454" s="5"/>
      <c r="CF454" s="5"/>
      <c r="CG454" s="5"/>
      <c r="CH454" s="5"/>
      <c r="CI454" s="5"/>
    </row>
    <row r="455" ht="14.25" customHeight="1">
      <c r="B455" s="1"/>
      <c r="D455" s="1"/>
      <c r="E455" s="33"/>
      <c r="F455" s="34"/>
      <c r="G455" s="5"/>
      <c r="H455" s="5"/>
      <c r="I455" s="5"/>
      <c r="J455" s="5"/>
      <c r="K455" s="5"/>
      <c r="L455" s="5"/>
      <c r="M455" s="32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/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5"/>
      <c r="CB455" s="5"/>
      <c r="CC455" s="5"/>
      <c r="CD455" s="5"/>
      <c r="CE455" s="5"/>
      <c r="CF455" s="5"/>
      <c r="CG455" s="5"/>
      <c r="CH455" s="5"/>
      <c r="CI455" s="5"/>
    </row>
    <row r="456" ht="14.25" customHeight="1">
      <c r="B456" s="1"/>
      <c r="D456" s="1"/>
      <c r="E456" s="33"/>
      <c r="F456" s="34"/>
      <c r="G456" s="5"/>
      <c r="H456" s="5"/>
      <c r="I456" s="5"/>
      <c r="J456" s="5"/>
      <c r="K456" s="5"/>
      <c r="L456" s="5"/>
      <c r="M456" s="32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/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5"/>
      <c r="CB456" s="5"/>
      <c r="CC456" s="5"/>
      <c r="CD456" s="5"/>
      <c r="CE456" s="5"/>
      <c r="CF456" s="5"/>
      <c r="CG456" s="5"/>
      <c r="CH456" s="5"/>
      <c r="CI456" s="5"/>
    </row>
    <row r="457" ht="14.25" customHeight="1">
      <c r="B457" s="1"/>
      <c r="D457" s="1"/>
      <c r="E457" s="33"/>
      <c r="F457" s="34"/>
      <c r="G457" s="5"/>
      <c r="H457" s="5"/>
      <c r="I457" s="5"/>
      <c r="J457" s="5"/>
      <c r="K457" s="5"/>
      <c r="L457" s="5"/>
      <c r="M457" s="32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/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5"/>
      <c r="CB457" s="5"/>
      <c r="CC457" s="5"/>
      <c r="CD457" s="5"/>
      <c r="CE457" s="5"/>
      <c r="CF457" s="5"/>
      <c r="CG457" s="5"/>
      <c r="CH457" s="5"/>
      <c r="CI457" s="5"/>
    </row>
    <row r="458" ht="14.25" customHeight="1">
      <c r="B458" s="1"/>
      <c r="D458" s="1"/>
      <c r="E458" s="33"/>
      <c r="F458" s="34"/>
      <c r="G458" s="5"/>
      <c r="H458" s="5"/>
      <c r="I458" s="5"/>
      <c r="J458" s="5"/>
      <c r="K458" s="5"/>
      <c r="L458" s="5"/>
      <c r="M458" s="32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/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5"/>
      <c r="CB458" s="5"/>
      <c r="CC458" s="5"/>
      <c r="CD458" s="5"/>
      <c r="CE458" s="5"/>
      <c r="CF458" s="5"/>
      <c r="CG458" s="5"/>
      <c r="CH458" s="5"/>
      <c r="CI458" s="5"/>
    </row>
    <row r="459" ht="14.25" customHeight="1">
      <c r="B459" s="1"/>
      <c r="D459" s="1"/>
      <c r="E459" s="33"/>
      <c r="F459" s="34"/>
      <c r="G459" s="5"/>
      <c r="H459" s="5"/>
      <c r="I459" s="5"/>
      <c r="J459" s="5"/>
      <c r="K459" s="5"/>
      <c r="L459" s="5"/>
      <c r="M459" s="32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/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5"/>
      <c r="CB459" s="5"/>
      <c r="CC459" s="5"/>
      <c r="CD459" s="5"/>
      <c r="CE459" s="5"/>
      <c r="CF459" s="5"/>
      <c r="CG459" s="5"/>
      <c r="CH459" s="5"/>
      <c r="CI459" s="5"/>
    </row>
    <row r="460" ht="14.25" customHeight="1">
      <c r="B460" s="1"/>
      <c r="D460" s="1"/>
      <c r="E460" s="33"/>
      <c r="F460" s="34"/>
      <c r="G460" s="5"/>
      <c r="H460" s="5"/>
      <c r="I460" s="5"/>
      <c r="J460" s="5"/>
      <c r="K460" s="5"/>
      <c r="L460" s="5"/>
      <c r="M460" s="32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/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/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5"/>
      <c r="CB460" s="5"/>
      <c r="CC460" s="5"/>
      <c r="CD460" s="5"/>
      <c r="CE460" s="5"/>
      <c r="CF460" s="5"/>
      <c r="CG460" s="5"/>
      <c r="CH460" s="5"/>
      <c r="CI460" s="5"/>
    </row>
    <row r="461" ht="14.25" customHeight="1">
      <c r="B461" s="1"/>
      <c r="D461" s="1"/>
      <c r="E461" s="33"/>
      <c r="F461" s="34"/>
      <c r="G461" s="5"/>
      <c r="H461" s="5"/>
      <c r="I461" s="5"/>
      <c r="J461" s="5"/>
      <c r="K461" s="5"/>
      <c r="L461" s="5"/>
      <c r="M461" s="32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/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5"/>
      <c r="CB461" s="5"/>
      <c r="CC461" s="5"/>
      <c r="CD461" s="5"/>
      <c r="CE461" s="5"/>
      <c r="CF461" s="5"/>
      <c r="CG461" s="5"/>
      <c r="CH461" s="5"/>
      <c r="CI461" s="5"/>
    </row>
    <row r="462" ht="14.25" customHeight="1">
      <c r="B462" s="1"/>
      <c r="D462" s="1"/>
      <c r="E462" s="33"/>
      <c r="F462" s="34"/>
      <c r="G462" s="5"/>
      <c r="H462" s="5"/>
      <c r="I462" s="5"/>
      <c r="J462" s="5"/>
      <c r="K462" s="5"/>
      <c r="L462" s="5"/>
      <c r="M462" s="32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/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/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5"/>
      <c r="CB462" s="5"/>
      <c r="CC462" s="5"/>
      <c r="CD462" s="5"/>
      <c r="CE462" s="5"/>
      <c r="CF462" s="5"/>
      <c r="CG462" s="5"/>
      <c r="CH462" s="5"/>
      <c r="CI462" s="5"/>
    </row>
    <row r="463" ht="14.25" customHeight="1">
      <c r="B463" s="1"/>
      <c r="D463" s="1"/>
      <c r="E463" s="33"/>
      <c r="F463" s="34"/>
      <c r="G463" s="5"/>
      <c r="H463" s="5"/>
      <c r="I463" s="5"/>
      <c r="J463" s="5"/>
      <c r="K463" s="5"/>
      <c r="L463" s="5"/>
      <c r="M463" s="32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/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5"/>
      <c r="CB463" s="5"/>
      <c r="CC463" s="5"/>
      <c r="CD463" s="5"/>
      <c r="CE463" s="5"/>
      <c r="CF463" s="5"/>
      <c r="CG463" s="5"/>
      <c r="CH463" s="5"/>
      <c r="CI463" s="5"/>
    </row>
    <row r="464" ht="14.25" customHeight="1">
      <c r="B464" s="1"/>
      <c r="D464" s="1"/>
      <c r="E464" s="33"/>
      <c r="F464" s="34"/>
      <c r="G464" s="5"/>
      <c r="H464" s="5"/>
      <c r="I464" s="5"/>
      <c r="J464" s="5"/>
      <c r="K464" s="5"/>
      <c r="L464" s="5"/>
      <c r="M464" s="32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/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5"/>
      <c r="CB464" s="5"/>
      <c r="CC464" s="5"/>
      <c r="CD464" s="5"/>
      <c r="CE464" s="5"/>
      <c r="CF464" s="5"/>
      <c r="CG464" s="5"/>
      <c r="CH464" s="5"/>
      <c r="CI464" s="5"/>
    </row>
    <row r="465" ht="14.25" customHeight="1">
      <c r="B465" s="1"/>
      <c r="D465" s="1"/>
      <c r="E465" s="33"/>
      <c r="F465" s="34"/>
      <c r="G465" s="5"/>
      <c r="H465" s="5"/>
      <c r="I465" s="5"/>
      <c r="J465" s="5"/>
      <c r="K465" s="5"/>
      <c r="L465" s="5"/>
      <c r="M465" s="32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/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5"/>
      <c r="CB465" s="5"/>
      <c r="CC465" s="5"/>
      <c r="CD465" s="5"/>
      <c r="CE465" s="5"/>
      <c r="CF465" s="5"/>
      <c r="CG465" s="5"/>
      <c r="CH465" s="5"/>
      <c r="CI465" s="5"/>
    </row>
    <row r="466" ht="14.25" customHeight="1">
      <c r="B466" s="1"/>
      <c r="D466" s="1"/>
      <c r="E466" s="33"/>
      <c r="F466" s="34"/>
      <c r="G466" s="5"/>
      <c r="H466" s="5"/>
      <c r="I466" s="5"/>
      <c r="J466" s="5"/>
      <c r="K466" s="5"/>
      <c r="L466" s="5"/>
      <c r="M466" s="32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/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5"/>
      <c r="CB466" s="5"/>
      <c r="CC466" s="5"/>
      <c r="CD466" s="5"/>
      <c r="CE466" s="5"/>
      <c r="CF466" s="5"/>
      <c r="CG466" s="5"/>
      <c r="CH466" s="5"/>
      <c r="CI466" s="5"/>
    </row>
    <row r="467" ht="14.25" customHeight="1">
      <c r="B467" s="1"/>
      <c r="D467" s="1"/>
      <c r="E467" s="33"/>
      <c r="F467" s="34"/>
      <c r="G467" s="5"/>
      <c r="H467" s="5"/>
      <c r="I467" s="5"/>
      <c r="J467" s="5"/>
      <c r="K467" s="5"/>
      <c r="L467" s="5"/>
      <c r="M467" s="32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/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5"/>
      <c r="CB467" s="5"/>
      <c r="CC467" s="5"/>
      <c r="CD467" s="5"/>
      <c r="CE467" s="5"/>
      <c r="CF467" s="5"/>
      <c r="CG467" s="5"/>
      <c r="CH467" s="5"/>
      <c r="CI467" s="5"/>
    </row>
    <row r="468" ht="14.25" customHeight="1">
      <c r="B468" s="1"/>
      <c r="D468" s="1"/>
      <c r="E468" s="33"/>
      <c r="F468" s="34"/>
      <c r="G468" s="5"/>
      <c r="H468" s="5"/>
      <c r="I468" s="5"/>
      <c r="J468" s="5"/>
      <c r="K468" s="5"/>
      <c r="L468" s="5"/>
      <c r="M468" s="32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/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5"/>
      <c r="CB468" s="5"/>
      <c r="CC468" s="5"/>
      <c r="CD468" s="5"/>
      <c r="CE468" s="5"/>
      <c r="CF468" s="5"/>
      <c r="CG468" s="5"/>
      <c r="CH468" s="5"/>
      <c r="CI468" s="5"/>
    </row>
    <row r="469" ht="14.25" customHeight="1">
      <c r="B469" s="1"/>
      <c r="D469" s="1"/>
      <c r="E469" s="33"/>
      <c r="F469" s="34"/>
      <c r="G469" s="5"/>
      <c r="H469" s="5"/>
      <c r="I469" s="5"/>
      <c r="J469" s="5"/>
      <c r="K469" s="5"/>
      <c r="L469" s="5"/>
      <c r="M469" s="32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/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5"/>
      <c r="CB469" s="5"/>
      <c r="CC469" s="5"/>
      <c r="CD469" s="5"/>
      <c r="CE469" s="5"/>
      <c r="CF469" s="5"/>
      <c r="CG469" s="5"/>
      <c r="CH469" s="5"/>
      <c r="CI469" s="5"/>
    </row>
    <row r="470" ht="14.25" customHeight="1">
      <c r="B470" s="1"/>
      <c r="D470" s="1"/>
      <c r="E470" s="33"/>
      <c r="F470" s="34"/>
      <c r="G470" s="5"/>
      <c r="H470" s="5"/>
      <c r="I470" s="5"/>
      <c r="J470" s="5"/>
      <c r="K470" s="5"/>
      <c r="L470" s="5"/>
      <c r="M470" s="32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/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5"/>
      <c r="CB470" s="5"/>
      <c r="CC470" s="5"/>
      <c r="CD470" s="5"/>
      <c r="CE470" s="5"/>
      <c r="CF470" s="5"/>
      <c r="CG470" s="5"/>
      <c r="CH470" s="5"/>
      <c r="CI470" s="5"/>
    </row>
    <row r="471" ht="14.25" customHeight="1">
      <c r="B471" s="1"/>
      <c r="D471" s="1"/>
      <c r="E471" s="33"/>
      <c r="F471" s="34"/>
      <c r="G471" s="5"/>
      <c r="H471" s="5"/>
      <c r="I471" s="5"/>
      <c r="J471" s="5"/>
      <c r="K471" s="5"/>
      <c r="L471" s="5"/>
      <c r="M471" s="32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/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5"/>
      <c r="CB471" s="5"/>
      <c r="CC471" s="5"/>
      <c r="CD471" s="5"/>
      <c r="CE471" s="5"/>
      <c r="CF471" s="5"/>
      <c r="CG471" s="5"/>
      <c r="CH471" s="5"/>
      <c r="CI471" s="5"/>
    </row>
    <row r="472" ht="14.25" customHeight="1">
      <c r="B472" s="1"/>
      <c r="D472" s="1"/>
      <c r="E472" s="33"/>
      <c r="F472" s="34"/>
      <c r="G472" s="5"/>
      <c r="H472" s="5"/>
      <c r="I472" s="5"/>
      <c r="J472" s="5"/>
      <c r="K472" s="5"/>
      <c r="L472" s="5"/>
      <c r="M472" s="32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/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5"/>
      <c r="CB472" s="5"/>
      <c r="CC472" s="5"/>
      <c r="CD472" s="5"/>
      <c r="CE472" s="5"/>
      <c r="CF472" s="5"/>
      <c r="CG472" s="5"/>
      <c r="CH472" s="5"/>
      <c r="CI472" s="5"/>
    </row>
    <row r="473" ht="14.25" customHeight="1">
      <c r="B473" s="1"/>
      <c r="D473" s="1"/>
      <c r="E473" s="33"/>
      <c r="F473" s="34"/>
      <c r="G473" s="5"/>
      <c r="H473" s="5"/>
      <c r="I473" s="5"/>
      <c r="J473" s="5"/>
      <c r="K473" s="5"/>
      <c r="L473" s="5"/>
      <c r="M473" s="32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/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5"/>
      <c r="CB473" s="5"/>
      <c r="CC473" s="5"/>
      <c r="CD473" s="5"/>
      <c r="CE473" s="5"/>
      <c r="CF473" s="5"/>
      <c r="CG473" s="5"/>
      <c r="CH473" s="5"/>
      <c r="CI473" s="5"/>
    </row>
    <row r="474" ht="14.25" customHeight="1">
      <c r="B474" s="1"/>
      <c r="D474" s="1"/>
      <c r="E474" s="33"/>
      <c r="F474" s="34"/>
      <c r="G474" s="5"/>
      <c r="H474" s="5"/>
      <c r="I474" s="5"/>
      <c r="J474" s="5"/>
      <c r="K474" s="5"/>
      <c r="L474" s="5"/>
      <c r="M474" s="32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/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5"/>
      <c r="CB474" s="5"/>
      <c r="CC474" s="5"/>
      <c r="CD474" s="5"/>
      <c r="CE474" s="5"/>
      <c r="CF474" s="5"/>
      <c r="CG474" s="5"/>
      <c r="CH474" s="5"/>
      <c r="CI474" s="5"/>
    </row>
    <row r="475" ht="14.25" customHeight="1">
      <c r="B475" s="1"/>
      <c r="D475" s="1"/>
      <c r="E475" s="33"/>
      <c r="F475" s="34"/>
      <c r="G475" s="5"/>
      <c r="H475" s="5"/>
      <c r="I475" s="5"/>
      <c r="J475" s="5"/>
      <c r="K475" s="5"/>
      <c r="L475" s="5"/>
      <c r="M475" s="32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/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5"/>
      <c r="CB475" s="5"/>
      <c r="CC475" s="5"/>
      <c r="CD475" s="5"/>
      <c r="CE475" s="5"/>
      <c r="CF475" s="5"/>
      <c r="CG475" s="5"/>
      <c r="CH475" s="5"/>
      <c r="CI475" s="5"/>
    </row>
    <row r="476" ht="14.25" customHeight="1">
      <c r="B476" s="1"/>
      <c r="D476" s="1"/>
      <c r="E476" s="33"/>
      <c r="F476" s="34"/>
      <c r="G476" s="5"/>
      <c r="H476" s="5"/>
      <c r="I476" s="5"/>
      <c r="J476" s="5"/>
      <c r="K476" s="5"/>
      <c r="L476" s="5"/>
      <c r="M476" s="32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/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5"/>
      <c r="CB476" s="5"/>
      <c r="CC476" s="5"/>
      <c r="CD476" s="5"/>
      <c r="CE476" s="5"/>
      <c r="CF476" s="5"/>
      <c r="CG476" s="5"/>
      <c r="CH476" s="5"/>
      <c r="CI476" s="5"/>
    </row>
    <row r="477" ht="14.25" customHeight="1">
      <c r="B477" s="1"/>
      <c r="D477" s="1"/>
      <c r="E477" s="33"/>
      <c r="F477" s="34"/>
      <c r="G477" s="5"/>
      <c r="H477" s="5"/>
      <c r="I477" s="5"/>
      <c r="J477" s="5"/>
      <c r="K477" s="5"/>
      <c r="L477" s="5"/>
      <c r="M477" s="32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/>
      <c r="BS477" s="5"/>
      <c r="BT477" s="5"/>
      <c r="BU477" s="5"/>
      <c r="BV477" s="5"/>
      <c r="BW477" s="5"/>
      <c r="BX477" s="5"/>
      <c r="BY477" s="5"/>
      <c r="BZ477" s="5"/>
      <c r="CA477" s="5"/>
      <c r="CB477" s="5"/>
      <c r="CC477" s="5"/>
      <c r="CD477" s="5"/>
      <c r="CE477" s="5"/>
      <c r="CF477" s="5"/>
      <c r="CG477" s="5"/>
      <c r="CH477" s="5"/>
      <c r="CI477" s="5"/>
    </row>
    <row r="478" ht="14.25" customHeight="1">
      <c r="B478" s="1"/>
      <c r="D478" s="1"/>
      <c r="E478" s="33"/>
      <c r="F478" s="34"/>
      <c r="G478" s="5"/>
      <c r="H478" s="5"/>
      <c r="I478" s="5"/>
      <c r="J478" s="5"/>
      <c r="K478" s="5"/>
      <c r="L478" s="5"/>
      <c r="M478" s="32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/>
      <c r="BS478" s="5"/>
      <c r="BT478" s="5"/>
      <c r="BU478" s="5"/>
      <c r="BV478" s="5"/>
      <c r="BW478" s="5"/>
      <c r="BX478" s="5"/>
      <c r="BY478" s="5"/>
      <c r="BZ478" s="5"/>
      <c r="CA478" s="5"/>
      <c r="CB478" s="5"/>
      <c r="CC478" s="5"/>
      <c r="CD478" s="5"/>
      <c r="CE478" s="5"/>
      <c r="CF478" s="5"/>
      <c r="CG478" s="5"/>
      <c r="CH478" s="5"/>
      <c r="CI478" s="5"/>
    </row>
    <row r="479" ht="14.25" customHeight="1">
      <c r="B479" s="1"/>
      <c r="D479" s="1"/>
      <c r="E479" s="33"/>
      <c r="F479" s="34"/>
      <c r="G479" s="5"/>
      <c r="H479" s="5"/>
      <c r="I479" s="5"/>
      <c r="J479" s="5"/>
      <c r="K479" s="5"/>
      <c r="L479" s="5"/>
      <c r="M479" s="32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  <c r="CE479" s="5"/>
      <c r="CF479" s="5"/>
      <c r="CG479" s="5"/>
      <c r="CH479" s="5"/>
      <c r="CI479" s="5"/>
    </row>
    <row r="480" ht="14.25" customHeight="1">
      <c r="B480" s="1"/>
      <c r="D480" s="1"/>
      <c r="E480" s="33"/>
      <c r="F480" s="34"/>
      <c r="G480" s="5"/>
      <c r="H480" s="5"/>
      <c r="I480" s="5"/>
      <c r="J480" s="5"/>
      <c r="K480" s="5"/>
      <c r="L480" s="5"/>
      <c r="M480" s="32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E480" s="5"/>
      <c r="CF480" s="5"/>
      <c r="CG480" s="5"/>
      <c r="CH480" s="5"/>
      <c r="CI480" s="5"/>
    </row>
    <row r="481" ht="14.25" customHeight="1">
      <c r="B481" s="1"/>
      <c r="D481" s="1"/>
      <c r="E481" s="33"/>
      <c r="F481" s="34"/>
      <c r="G481" s="5"/>
      <c r="H481" s="5"/>
      <c r="I481" s="5"/>
      <c r="J481" s="5"/>
      <c r="K481" s="5"/>
      <c r="L481" s="5"/>
      <c r="M481" s="32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</row>
    <row r="482" ht="14.25" customHeight="1">
      <c r="B482" s="1"/>
      <c r="D482" s="1"/>
      <c r="E482" s="33"/>
      <c r="F482" s="34"/>
      <c r="G482" s="5"/>
      <c r="H482" s="5"/>
      <c r="I482" s="5"/>
      <c r="J482" s="5"/>
      <c r="K482" s="5"/>
      <c r="L482" s="5"/>
      <c r="M482" s="32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/>
      <c r="CG482" s="5"/>
      <c r="CH482" s="5"/>
      <c r="CI482" s="5"/>
    </row>
    <row r="483" ht="14.25" customHeight="1">
      <c r="B483" s="1"/>
      <c r="D483" s="1"/>
      <c r="E483" s="33"/>
      <c r="F483" s="34"/>
      <c r="G483" s="5"/>
      <c r="H483" s="5"/>
      <c r="I483" s="5"/>
      <c r="J483" s="5"/>
      <c r="K483" s="5"/>
      <c r="L483" s="5"/>
      <c r="M483" s="32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</row>
    <row r="484" ht="14.25" customHeight="1">
      <c r="B484" s="1"/>
      <c r="D484" s="1"/>
      <c r="E484" s="33"/>
      <c r="F484" s="34"/>
      <c r="G484" s="5"/>
      <c r="H484" s="5"/>
      <c r="I484" s="5"/>
      <c r="J484" s="5"/>
      <c r="K484" s="5"/>
      <c r="L484" s="5"/>
      <c r="M484" s="32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/>
      <c r="CG484" s="5"/>
      <c r="CH484" s="5"/>
      <c r="CI484" s="5"/>
    </row>
    <row r="485" ht="14.25" customHeight="1">
      <c r="B485" s="1"/>
      <c r="D485" s="1"/>
      <c r="E485" s="33"/>
      <c r="F485" s="34"/>
      <c r="G485" s="5"/>
      <c r="H485" s="5"/>
      <c r="I485" s="5"/>
      <c r="J485" s="5"/>
      <c r="K485" s="5"/>
      <c r="L485" s="5"/>
      <c r="M485" s="32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</row>
    <row r="486" ht="14.25" customHeight="1">
      <c r="B486" s="1"/>
      <c r="D486" s="1"/>
      <c r="E486" s="33"/>
      <c r="F486" s="34"/>
      <c r="G486" s="5"/>
      <c r="H486" s="5"/>
      <c r="I486" s="5"/>
      <c r="J486" s="5"/>
      <c r="K486" s="5"/>
      <c r="L486" s="5"/>
      <c r="M486" s="32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</row>
    <row r="487" ht="14.25" customHeight="1">
      <c r="B487" s="1"/>
      <c r="D487" s="1"/>
      <c r="E487" s="33"/>
      <c r="F487" s="34"/>
      <c r="G487" s="5"/>
      <c r="H487" s="5"/>
      <c r="I487" s="5"/>
      <c r="J487" s="5"/>
      <c r="K487" s="5"/>
      <c r="L487" s="5"/>
      <c r="M487" s="32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/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</row>
    <row r="488" ht="14.25" customHeight="1">
      <c r="B488" s="1"/>
      <c r="D488" s="1"/>
      <c r="E488" s="33"/>
      <c r="F488" s="34"/>
      <c r="G488" s="5"/>
      <c r="H488" s="5"/>
      <c r="I488" s="5"/>
      <c r="J488" s="5"/>
      <c r="K488" s="5"/>
      <c r="L488" s="5"/>
      <c r="M488" s="32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</row>
    <row r="489" ht="14.25" customHeight="1">
      <c r="B489" s="1"/>
      <c r="D489" s="1"/>
      <c r="E489" s="33"/>
      <c r="F489" s="34"/>
      <c r="G489" s="5"/>
      <c r="H489" s="5"/>
      <c r="I489" s="5"/>
      <c r="J489" s="5"/>
      <c r="K489" s="5"/>
      <c r="L489" s="5"/>
      <c r="M489" s="32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</row>
    <row r="490" ht="14.25" customHeight="1">
      <c r="B490" s="1"/>
      <c r="D490" s="1"/>
      <c r="E490" s="33"/>
      <c r="F490" s="34"/>
      <c r="G490" s="5"/>
      <c r="H490" s="5"/>
      <c r="I490" s="5"/>
      <c r="J490" s="5"/>
      <c r="K490" s="5"/>
      <c r="L490" s="5"/>
      <c r="M490" s="32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</row>
    <row r="491" ht="14.25" customHeight="1">
      <c r="B491" s="1"/>
      <c r="D491" s="1"/>
      <c r="E491" s="33"/>
      <c r="F491" s="34"/>
      <c r="G491" s="5"/>
      <c r="H491" s="5"/>
      <c r="I491" s="5"/>
      <c r="J491" s="5"/>
      <c r="K491" s="5"/>
      <c r="L491" s="5"/>
      <c r="M491" s="32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</row>
    <row r="492" ht="14.25" customHeight="1">
      <c r="B492" s="1"/>
      <c r="D492" s="1"/>
      <c r="E492" s="33"/>
      <c r="F492" s="34"/>
      <c r="G492" s="5"/>
      <c r="H492" s="5"/>
      <c r="I492" s="5"/>
      <c r="J492" s="5"/>
      <c r="K492" s="5"/>
      <c r="L492" s="5"/>
      <c r="M492" s="32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</row>
    <row r="493" ht="14.25" customHeight="1">
      <c r="B493" s="1"/>
      <c r="D493" s="1"/>
      <c r="E493" s="33"/>
      <c r="F493" s="34"/>
      <c r="G493" s="5"/>
      <c r="H493" s="5"/>
      <c r="I493" s="5"/>
      <c r="J493" s="5"/>
      <c r="K493" s="5"/>
      <c r="L493" s="5"/>
      <c r="M493" s="32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</row>
    <row r="494" ht="14.25" customHeight="1">
      <c r="B494" s="1"/>
      <c r="D494" s="1"/>
      <c r="E494" s="33"/>
      <c r="F494" s="34"/>
      <c r="G494" s="5"/>
      <c r="H494" s="5"/>
      <c r="I494" s="5"/>
      <c r="J494" s="5"/>
      <c r="K494" s="5"/>
      <c r="L494" s="5"/>
      <c r="M494" s="32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</row>
    <row r="495" ht="14.25" customHeight="1">
      <c r="B495" s="1"/>
      <c r="D495" s="1"/>
      <c r="E495" s="33"/>
      <c r="F495" s="34"/>
      <c r="G495" s="5"/>
      <c r="H495" s="5"/>
      <c r="I495" s="5"/>
      <c r="J495" s="5"/>
      <c r="K495" s="5"/>
      <c r="L495" s="5"/>
      <c r="M495" s="32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</row>
    <row r="496" ht="14.25" customHeight="1">
      <c r="B496" s="1"/>
      <c r="D496" s="1"/>
      <c r="E496" s="33"/>
      <c r="F496" s="34"/>
      <c r="G496" s="5"/>
      <c r="H496" s="5"/>
      <c r="I496" s="5"/>
      <c r="J496" s="5"/>
      <c r="K496" s="5"/>
      <c r="L496" s="5"/>
      <c r="M496" s="32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</row>
    <row r="497" ht="14.25" customHeight="1">
      <c r="B497" s="1"/>
      <c r="D497" s="1"/>
      <c r="E497" s="33"/>
      <c r="F497" s="34"/>
      <c r="G497" s="5"/>
      <c r="H497" s="5"/>
      <c r="I497" s="5"/>
      <c r="J497" s="5"/>
      <c r="K497" s="5"/>
      <c r="L497" s="5"/>
      <c r="M497" s="32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</row>
    <row r="498" ht="14.25" customHeight="1">
      <c r="B498" s="1"/>
      <c r="D498" s="1"/>
      <c r="E498" s="33"/>
      <c r="F498" s="34"/>
      <c r="G498" s="5"/>
      <c r="H498" s="5"/>
      <c r="I498" s="5"/>
      <c r="J498" s="5"/>
      <c r="K498" s="5"/>
      <c r="L498" s="5"/>
      <c r="M498" s="32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</row>
    <row r="499" ht="14.25" customHeight="1">
      <c r="B499" s="1"/>
      <c r="D499" s="1"/>
      <c r="E499" s="33"/>
      <c r="F499" s="34"/>
      <c r="G499" s="5"/>
      <c r="H499" s="5"/>
      <c r="I499" s="5"/>
      <c r="J499" s="5"/>
      <c r="K499" s="5"/>
      <c r="L499" s="5"/>
      <c r="M499" s="32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</row>
    <row r="500" ht="14.25" customHeight="1">
      <c r="B500" s="1"/>
      <c r="D500" s="1"/>
      <c r="E500" s="33"/>
      <c r="F500" s="34"/>
      <c r="G500" s="5"/>
      <c r="H500" s="5"/>
      <c r="I500" s="5"/>
      <c r="J500" s="5"/>
      <c r="K500" s="5"/>
      <c r="L500" s="5"/>
      <c r="M500" s="32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</row>
    <row r="501" ht="14.25" customHeight="1">
      <c r="B501" s="1"/>
      <c r="D501" s="1"/>
      <c r="E501" s="33"/>
      <c r="F501" s="34"/>
      <c r="G501" s="5"/>
      <c r="H501" s="5"/>
      <c r="I501" s="5"/>
      <c r="J501" s="5"/>
      <c r="K501" s="5"/>
      <c r="L501" s="5"/>
      <c r="M501" s="32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</row>
    <row r="502" ht="14.25" customHeight="1">
      <c r="B502" s="1"/>
      <c r="D502" s="1"/>
      <c r="E502" s="33"/>
      <c r="F502" s="34"/>
      <c r="G502" s="5"/>
      <c r="H502" s="5"/>
      <c r="I502" s="5"/>
      <c r="J502" s="5"/>
      <c r="K502" s="5"/>
      <c r="L502" s="5"/>
      <c r="M502" s="32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/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</row>
    <row r="503" ht="14.25" customHeight="1">
      <c r="B503" s="1"/>
      <c r="D503" s="1"/>
      <c r="E503" s="33"/>
      <c r="F503" s="34"/>
      <c r="G503" s="5"/>
      <c r="H503" s="5"/>
      <c r="I503" s="5"/>
      <c r="J503" s="5"/>
      <c r="K503" s="5"/>
      <c r="L503" s="5"/>
      <c r="M503" s="32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</row>
    <row r="504" ht="14.25" customHeight="1">
      <c r="B504" s="1"/>
      <c r="D504" s="1"/>
      <c r="E504" s="33"/>
      <c r="F504" s="34"/>
      <c r="G504" s="5"/>
      <c r="H504" s="5"/>
      <c r="I504" s="5"/>
      <c r="J504" s="5"/>
      <c r="K504" s="5"/>
      <c r="L504" s="5"/>
      <c r="M504" s="32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</row>
    <row r="505" ht="14.25" customHeight="1">
      <c r="B505" s="1"/>
      <c r="D505" s="1"/>
      <c r="E505" s="33"/>
      <c r="F505" s="34"/>
      <c r="G505" s="5"/>
      <c r="H505" s="5"/>
      <c r="I505" s="5"/>
      <c r="J505" s="5"/>
      <c r="K505" s="5"/>
      <c r="L505" s="5"/>
      <c r="M505" s="32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</row>
    <row r="506" ht="14.25" customHeight="1">
      <c r="B506" s="1"/>
      <c r="D506" s="1"/>
      <c r="E506" s="33"/>
      <c r="F506" s="34"/>
      <c r="G506" s="5"/>
      <c r="H506" s="5"/>
      <c r="I506" s="5"/>
      <c r="J506" s="5"/>
      <c r="K506" s="5"/>
      <c r="L506" s="5"/>
      <c r="M506" s="32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</row>
    <row r="507" ht="14.25" customHeight="1">
      <c r="B507" s="1"/>
      <c r="D507" s="1"/>
      <c r="E507" s="33"/>
      <c r="F507" s="34"/>
      <c r="G507" s="5"/>
      <c r="H507" s="5"/>
      <c r="I507" s="5"/>
      <c r="J507" s="5"/>
      <c r="K507" s="5"/>
      <c r="L507" s="5"/>
      <c r="M507" s="32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</row>
    <row r="508" ht="14.25" customHeight="1">
      <c r="B508" s="1"/>
      <c r="D508" s="1"/>
      <c r="E508" s="33"/>
      <c r="F508" s="34"/>
      <c r="G508" s="5"/>
      <c r="H508" s="5"/>
      <c r="I508" s="5"/>
      <c r="J508" s="5"/>
      <c r="K508" s="5"/>
      <c r="L508" s="5"/>
      <c r="M508" s="32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</row>
    <row r="509" ht="14.25" customHeight="1">
      <c r="B509" s="1"/>
      <c r="D509" s="1"/>
      <c r="E509" s="33"/>
      <c r="F509" s="34"/>
      <c r="G509" s="5"/>
      <c r="H509" s="5"/>
      <c r="I509" s="5"/>
      <c r="J509" s="5"/>
      <c r="K509" s="5"/>
      <c r="L509" s="5"/>
      <c r="M509" s="32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</row>
    <row r="510" ht="14.25" customHeight="1">
      <c r="B510" s="1"/>
      <c r="D510" s="1"/>
      <c r="E510" s="33"/>
      <c r="F510" s="34"/>
      <c r="G510" s="5"/>
      <c r="H510" s="5"/>
      <c r="I510" s="5"/>
      <c r="J510" s="5"/>
      <c r="K510" s="5"/>
      <c r="L510" s="5"/>
      <c r="M510" s="32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/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</row>
    <row r="511" ht="14.25" customHeight="1">
      <c r="B511" s="1"/>
      <c r="D511" s="1"/>
      <c r="E511" s="33"/>
      <c r="F511" s="34"/>
      <c r="G511" s="5"/>
      <c r="H511" s="5"/>
      <c r="I511" s="5"/>
      <c r="J511" s="5"/>
      <c r="K511" s="5"/>
      <c r="L511" s="5"/>
      <c r="M511" s="32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</row>
    <row r="512" ht="14.25" customHeight="1">
      <c r="B512" s="1"/>
      <c r="D512" s="1"/>
      <c r="E512" s="33"/>
      <c r="F512" s="34"/>
      <c r="G512" s="5"/>
      <c r="H512" s="5"/>
      <c r="I512" s="5"/>
      <c r="J512" s="5"/>
      <c r="K512" s="5"/>
      <c r="L512" s="5"/>
      <c r="M512" s="32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</row>
    <row r="513" ht="14.25" customHeight="1">
      <c r="B513" s="1"/>
      <c r="D513" s="1"/>
      <c r="E513" s="33"/>
      <c r="F513" s="34"/>
      <c r="G513" s="5"/>
      <c r="H513" s="5"/>
      <c r="I513" s="5"/>
      <c r="J513" s="5"/>
      <c r="K513" s="5"/>
      <c r="L513" s="5"/>
      <c r="M513" s="32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</row>
    <row r="514" ht="14.25" customHeight="1">
      <c r="B514" s="1"/>
      <c r="D514" s="1"/>
      <c r="E514" s="33"/>
      <c r="F514" s="34"/>
      <c r="G514" s="5"/>
      <c r="H514" s="5"/>
      <c r="I514" s="5"/>
      <c r="J514" s="5"/>
      <c r="K514" s="5"/>
      <c r="L514" s="5"/>
      <c r="M514" s="32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</row>
    <row r="515" ht="14.25" customHeight="1">
      <c r="B515" s="1"/>
      <c r="D515" s="1"/>
      <c r="E515" s="33"/>
      <c r="F515" s="34"/>
      <c r="G515" s="5"/>
      <c r="H515" s="5"/>
      <c r="I515" s="5"/>
      <c r="J515" s="5"/>
      <c r="K515" s="5"/>
      <c r="L515" s="5"/>
      <c r="M515" s="32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</row>
    <row r="516" ht="14.25" customHeight="1">
      <c r="B516" s="1"/>
      <c r="D516" s="1"/>
      <c r="E516" s="33"/>
      <c r="F516" s="34"/>
      <c r="G516" s="5"/>
      <c r="H516" s="5"/>
      <c r="I516" s="5"/>
      <c r="J516" s="5"/>
      <c r="K516" s="5"/>
      <c r="L516" s="5"/>
      <c r="M516" s="32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</row>
    <row r="517" ht="14.25" customHeight="1">
      <c r="B517" s="1"/>
      <c r="D517" s="1"/>
      <c r="E517" s="33"/>
      <c r="F517" s="34"/>
      <c r="G517" s="5"/>
      <c r="H517" s="5"/>
      <c r="I517" s="5"/>
      <c r="J517" s="5"/>
      <c r="K517" s="5"/>
      <c r="L517" s="5"/>
      <c r="M517" s="32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</row>
    <row r="518" ht="14.25" customHeight="1">
      <c r="B518" s="1"/>
      <c r="D518" s="1"/>
      <c r="E518" s="33"/>
      <c r="F518" s="34"/>
      <c r="G518" s="5"/>
      <c r="H518" s="5"/>
      <c r="I518" s="5"/>
      <c r="J518" s="5"/>
      <c r="K518" s="5"/>
      <c r="L518" s="5"/>
      <c r="M518" s="32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</row>
    <row r="519" ht="14.25" customHeight="1">
      <c r="B519" s="1"/>
      <c r="D519" s="1"/>
      <c r="E519" s="33"/>
      <c r="F519" s="34"/>
      <c r="G519" s="5"/>
      <c r="H519" s="5"/>
      <c r="I519" s="5"/>
      <c r="J519" s="5"/>
      <c r="K519" s="5"/>
      <c r="L519" s="5"/>
      <c r="M519" s="32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</row>
    <row r="520" ht="14.25" customHeight="1">
      <c r="B520" s="1"/>
      <c r="D520" s="1"/>
      <c r="E520" s="33"/>
      <c r="F520" s="34"/>
      <c r="G520" s="5"/>
      <c r="H520" s="5"/>
      <c r="I520" s="5"/>
      <c r="J520" s="5"/>
      <c r="K520" s="5"/>
      <c r="L520" s="5"/>
      <c r="M520" s="32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/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</row>
    <row r="521" ht="14.25" customHeight="1">
      <c r="B521" s="1"/>
      <c r="D521" s="1"/>
      <c r="E521" s="33"/>
      <c r="F521" s="34"/>
      <c r="G521" s="5"/>
      <c r="H521" s="5"/>
      <c r="I521" s="5"/>
      <c r="J521" s="5"/>
      <c r="K521" s="5"/>
      <c r="L521" s="5"/>
      <c r="M521" s="32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/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</row>
    <row r="522" ht="14.25" customHeight="1">
      <c r="B522" s="1"/>
      <c r="D522" s="1"/>
      <c r="E522" s="33"/>
      <c r="F522" s="34"/>
      <c r="G522" s="5"/>
      <c r="H522" s="5"/>
      <c r="I522" s="5"/>
      <c r="J522" s="5"/>
      <c r="K522" s="5"/>
      <c r="L522" s="5"/>
      <c r="M522" s="32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/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</row>
    <row r="523" ht="14.25" customHeight="1">
      <c r="B523" s="1"/>
      <c r="D523" s="1"/>
      <c r="E523" s="33"/>
      <c r="F523" s="34"/>
      <c r="G523" s="5"/>
      <c r="H523" s="5"/>
      <c r="I523" s="5"/>
      <c r="J523" s="5"/>
      <c r="K523" s="5"/>
      <c r="L523" s="5"/>
      <c r="M523" s="32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/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</row>
    <row r="524" ht="14.25" customHeight="1">
      <c r="B524" s="1"/>
      <c r="D524" s="1"/>
      <c r="E524" s="33"/>
      <c r="F524" s="34"/>
      <c r="G524" s="5"/>
      <c r="H524" s="5"/>
      <c r="I524" s="5"/>
      <c r="J524" s="5"/>
      <c r="K524" s="5"/>
      <c r="L524" s="5"/>
      <c r="M524" s="32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</row>
    <row r="525" ht="14.25" customHeight="1">
      <c r="B525" s="1"/>
      <c r="D525" s="1"/>
      <c r="E525" s="33"/>
      <c r="F525" s="34"/>
      <c r="G525" s="5"/>
      <c r="H525" s="5"/>
      <c r="I525" s="5"/>
      <c r="J525" s="5"/>
      <c r="K525" s="5"/>
      <c r="L525" s="5"/>
      <c r="M525" s="32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/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5"/>
      <c r="BP525" s="5"/>
      <c r="BQ525" s="5"/>
      <c r="BR525" s="5"/>
      <c r="BS525" s="5"/>
      <c r="BT525" s="5"/>
      <c r="BU525" s="5"/>
      <c r="BV525" s="5"/>
      <c r="BW525" s="5"/>
      <c r="BX525" s="5"/>
      <c r="BY525" s="5"/>
      <c r="BZ525" s="5"/>
      <c r="CA525" s="5"/>
      <c r="CB525" s="5"/>
      <c r="CC525" s="5"/>
      <c r="CD525" s="5"/>
      <c r="CE525" s="5"/>
      <c r="CF525" s="5"/>
      <c r="CG525" s="5"/>
      <c r="CH525" s="5"/>
      <c r="CI525" s="5"/>
    </row>
    <row r="526" ht="14.25" customHeight="1">
      <c r="B526" s="1"/>
      <c r="D526" s="1"/>
      <c r="E526" s="33"/>
      <c r="F526" s="34"/>
      <c r="G526" s="5"/>
      <c r="H526" s="5"/>
      <c r="I526" s="5"/>
      <c r="J526" s="5"/>
      <c r="K526" s="5"/>
      <c r="L526" s="5"/>
      <c r="M526" s="32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/>
      <c r="BI526" s="5"/>
      <c r="BJ526" s="5"/>
      <c r="BK526" s="5"/>
      <c r="BL526" s="5"/>
      <c r="BM526" s="5"/>
      <c r="BN526" s="5"/>
      <c r="BO526" s="5"/>
      <c r="BP526" s="5"/>
      <c r="BQ526" s="5"/>
      <c r="BR526" s="5"/>
      <c r="BS526" s="5"/>
      <c r="BT526" s="5"/>
      <c r="BU526" s="5"/>
      <c r="BV526" s="5"/>
      <c r="BW526" s="5"/>
      <c r="BX526" s="5"/>
      <c r="BY526" s="5"/>
      <c r="BZ526" s="5"/>
      <c r="CA526" s="5"/>
      <c r="CB526" s="5"/>
      <c r="CC526" s="5"/>
      <c r="CD526" s="5"/>
      <c r="CE526" s="5"/>
      <c r="CF526" s="5"/>
      <c r="CG526" s="5"/>
      <c r="CH526" s="5"/>
      <c r="CI526" s="5"/>
    </row>
    <row r="527" ht="14.25" customHeight="1">
      <c r="B527" s="1"/>
      <c r="D527" s="1"/>
      <c r="E527" s="33"/>
      <c r="F527" s="34"/>
      <c r="G527" s="5"/>
      <c r="H527" s="5"/>
      <c r="I527" s="5"/>
      <c r="J527" s="5"/>
      <c r="K527" s="5"/>
      <c r="L527" s="5"/>
      <c r="M527" s="32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/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5"/>
      <c r="BP527" s="5"/>
      <c r="BQ527" s="5"/>
      <c r="BR527" s="5"/>
      <c r="BS527" s="5"/>
      <c r="BT527" s="5"/>
      <c r="BU527" s="5"/>
      <c r="BV527" s="5"/>
      <c r="BW527" s="5"/>
      <c r="BX527" s="5"/>
      <c r="BY527" s="5"/>
      <c r="BZ527" s="5"/>
      <c r="CA527" s="5"/>
      <c r="CB527" s="5"/>
      <c r="CC527" s="5"/>
      <c r="CD527" s="5"/>
      <c r="CE527" s="5"/>
      <c r="CF527" s="5"/>
      <c r="CG527" s="5"/>
      <c r="CH527" s="5"/>
      <c r="CI527" s="5"/>
    </row>
    <row r="528" ht="14.25" customHeight="1">
      <c r="B528" s="1"/>
      <c r="D528" s="1"/>
      <c r="E528" s="33"/>
      <c r="F528" s="34"/>
      <c r="G528" s="5"/>
      <c r="H528" s="5"/>
      <c r="I528" s="5"/>
      <c r="J528" s="5"/>
      <c r="K528" s="5"/>
      <c r="L528" s="5"/>
      <c r="M528" s="32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/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5"/>
      <c r="BK528" s="5"/>
      <c r="BL528" s="5"/>
      <c r="BM528" s="5"/>
      <c r="BN528" s="5"/>
      <c r="BO528" s="5"/>
      <c r="BP528" s="5"/>
      <c r="BQ528" s="5"/>
      <c r="BR528" s="5"/>
      <c r="BS528" s="5"/>
      <c r="BT528" s="5"/>
      <c r="BU528" s="5"/>
      <c r="BV528" s="5"/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</row>
    <row r="529" ht="14.25" customHeight="1">
      <c r="B529" s="1"/>
      <c r="D529" s="1"/>
      <c r="E529" s="33"/>
      <c r="F529" s="34"/>
      <c r="G529" s="5"/>
      <c r="H529" s="5"/>
      <c r="I529" s="5"/>
      <c r="J529" s="5"/>
      <c r="K529" s="5"/>
      <c r="L529" s="5"/>
      <c r="M529" s="32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/>
      <c r="BF529" s="5"/>
      <c r="BG529" s="5"/>
      <c r="BH529" s="5"/>
      <c r="BI529" s="5"/>
      <c r="BJ529" s="5"/>
      <c r="BK529" s="5"/>
      <c r="BL529" s="5"/>
      <c r="BM529" s="5"/>
      <c r="BN529" s="5"/>
      <c r="BO529" s="5"/>
      <c r="BP529" s="5"/>
      <c r="BQ529" s="5"/>
      <c r="BR529" s="5"/>
      <c r="BS529" s="5"/>
      <c r="BT529" s="5"/>
      <c r="BU529" s="5"/>
      <c r="BV529" s="5"/>
      <c r="BW529" s="5"/>
      <c r="BX529" s="5"/>
      <c r="BY529" s="5"/>
      <c r="BZ529" s="5"/>
      <c r="CA529" s="5"/>
      <c r="CB529" s="5"/>
      <c r="CC529" s="5"/>
      <c r="CD529" s="5"/>
      <c r="CE529" s="5"/>
      <c r="CF529" s="5"/>
      <c r="CG529" s="5"/>
      <c r="CH529" s="5"/>
      <c r="CI529" s="5"/>
    </row>
    <row r="530" ht="14.25" customHeight="1">
      <c r="B530" s="1"/>
      <c r="D530" s="1"/>
      <c r="E530" s="33"/>
      <c r="F530" s="34"/>
      <c r="G530" s="5"/>
      <c r="H530" s="5"/>
      <c r="I530" s="5"/>
      <c r="J530" s="5"/>
      <c r="K530" s="5"/>
      <c r="L530" s="5"/>
      <c r="M530" s="32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/>
      <c r="BF530" s="5"/>
      <c r="BG530" s="5"/>
      <c r="BH530" s="5"/>
      <c r="BI530" s="5"/>
      <c r="BJ530" s="5"/>
      <c r="BK530" s="5"/>
      <c r="BL530" s="5"/>
      <c r="BM530" s="5"/>
      <c r="BN530" s="5"/>
      <c r="BO530" s="5"/>
      <c r="BP530" s="5"/>
      <c r="BQ530" s="5"/>
      <c r="BR530" s="5"/>
      <c r="BS530" s="5"/>
      <c r="BT530" s="5"/>
      <c r="BU530" s="5"/>
      <c r="BV530" s="5"/>
      <c r="BW530" s="5"/>
      <c r="BX530" s="5"/>
      <c r="BY530" s="5"/>
      <c r="BZ530" s="5"/>
      <c r="CA530" s="5"/>
      <c r="CB530" s="5"/>
      <c r="CC530" s="5"/>
      <c r="CD530" s="5"/>
      <c r="CE530" s="5"/>
      <c r="CF530" s="5"/>
      <c r="CG530" s="5"/>
      <c r="CH530" s="5"/>
      <c r="CI530" s="5"/>
    </row>
    <row r="531" ht="14.25" customHeight="1">
      <c r="B531" s="1"/>
      <c r="D531" s="1"/>
      <c r="E531" s="33"/>
      <c r="F531" s="34"/>
      <c r="G531" s="5"/>
      <c r="H531" s="5"/>
      <c r="I531" s="5"/>
      <c r="J531" s="5"/>
      <c r="K531" s="5"/>
      <c r="L531" s="5"/>
      <c r="M531" s="32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/>
      <c r="BF531" s="5"/>
      <c r="BG531" s="5"/>
      <c r="BH531" s="5"/>
      <c r="BI531" s="5"/>
      <c r="BJ531" s="5"/>
      <c r="BK531" s="5"/>
      <c r="BL531" s="5"/>
      <c r="BM531" s="5"/>
      <c r="BN531" s="5"/>
      <c r="BO531" s="5"/>
      <c r="BP531" s="5"/>
      <c r="BQ531" s="5"/>
      <c r="BR531" s="5"/>
      <c r="BS531" s="5"/>
      <c r="BT531" s="5"/>
      <c r="BU531" s="5"/>
      <c r="BV531" s="5"/>
      <c r="BW531" s="5"/>
      <c r="BX531" s="5"/>
      <c r="BY531" s="5"/>
      <c r="BZ531" s="5"/>
      <c r="CA531" s="5"/>
      <c r="CB531" s="5"/>
      <c r="CC531" s="5"/>
      <c r="CD531" s="5"/>
      <c r="CE531" s="5"/>
      <c r="CF531" s="5"/>
      <c r="CG531" s="5"/>
      <c r="CH531" s="5"/>
      <c r="CI531" s="5"/>
    </row>
    <row r="532" ht="14.25" customHeight="1">
      <c r="B532" s="1"/>
      <c r="D532" s="1"/>
      <c r="E532" s="33"/>
      <c r="F532" s="34"/>
      <c r="G532" s="5"/>
      <c r="H532" s="5"/>
      <c r="I532" s="5"/>
      <c r="J532" s="5"/>
      <c r="K532" s="5"/>
      <c r="L532" s="5"/>
      <c r="M532" s="32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/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/>
      <c r="BF532" s="5"/>
      <c r="BG532" s="5"/>
      <c r="BH532" s="5"/>
      <c r="BI532" s="5"/>
      <c r="BJ532" s="5"/>
      <c r="BK532" s="5"/>
      <c r="BL532" s="5"/>
      <c r="BM532" s="5"/>
      <c r="BN532" s="5"/>
      <c r="BO532" s="5"/>
      <c r="BP532" s="5"/>
      <c r="BQ532" s="5"/>
      <c r="BR532" s="5"/>
      <c r="BS532" s="5"/>
      <c r="BT532" s="5"/>
      <c r="BU532" s="5"/>
      <c r="BV532" s="5"/>
      <c r="BW532" s="5"/>
      <c r="BX532" s="5"/>
      <c r="BY532" s="5"/>
      <c r="BZ532" s="5"/>
      <c r="CA532" s="5"/>
      <c r="CB532" s="5"/>
      <c r="CC532" s="5"/>
      <c r="CD532" s="5"/>
      <c r="CE532" s="5"/>
      <c r="CF532" s="5"/>
      <c r="CG532" s="5"/>
      <c r="CH532" s="5"/>
      <c r="CI532" s="5"/>
    </row>
    <row r="533" ht="14.25" customHeight="1">
      <c r="B533" s="1"/>
      <c r="D533" s="1"/>
      <c r="E533" s="33"/>
      <c r="F533" s="34"/>
      <c r="G533" s="5"/>
      <c r="H533" s="5"/>
      <c r="I533" s="5"/>
      <c r="J533" s="5"/>
      <c r="K533" s="5"/>
      <c r="L533" s="5"/>
      <c r="M533" s="32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/>
      <c r="BF533" s="5"/>
      <c r="BG533" s="5"/>
      <c r="BH533" s="5"/>
      <c r="BI533" s="5"/>
      <c r="BJ533" s="5"/>
      <c r="BK533" s="5"/>
      <c r="BL533" s="5"/>
      <c r="BM533" s="5"/>
      <c r="BN533" s="5"/>
      <c r="BO533" s="5"/>
      <c r="BP533" s="5"/>
      <c r="BQ533" s="5"/>
      <c r="BR533" s="5"/>
      <c r="BS533" s="5"/>
      <c r="BT533" s="5"/>
      <c r="BU533" s="5"/>
      <c r="BV533" s="5"/>
      <c r="BW533" s="5"/>
      <c r="BX533" s="5"/>
      <c r="BY533" s="5"/>
      <c r="BZ533" s="5"/>
      <c r="CA533" s="5"/>
      <c r="CB533" s="5"/>
      <c r="CC533" s="5"/>
      <c r="CD533" s="5"/>
      <c r="CE533" s="5"/>
      <c r="CF533" s="5"/>
      <c r="CG533" s="5"/>
      <c r="CH533" s="5"/>
      <c r="CI533" s="5"/>
    </row>
    <row r="534" ht="14.25" customHeight="1">
      <c r="B534" s="1"/>
      <c r="D534" s="1"/>
      <c r="E534" s="33"/>
      <c r="F534" s="34"/>
      <c r="G534" s="5"/>
      <c r="H534" s="5"/>
      <c r="I534" s="5"/>
      <c r="J534" s="5"/>
      <c r="K534" s="5"/>
      <c r="L534" s="5"/>
      <c r="M534" s="32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/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/>
      <c r="BF534" s="5"/>
      <c r="BG534" s="5"/>
      <c r="BH534" s="5"/>
      <c r="BI534" s="5"/>
      <c r="BJ534" s="5"/>
      <c r="BK534" s="5"/>
      <c r="BL534" s="5"/>
      <c r="BM534" s="5"/>
      <c r="BN534" s="5"/>
      <c r="BO534" s="5"/>
      <c r="BP534" s="5"/>
      <c r="BQ534" s="5"/>
      <c r="BR534" s="5"/>
      <c r="BS534" s="5"/>
      <c r="BT534" s="5"/>
      <c r="BU534" s="5"/>
      <c r="BV534" s="5"/>
      <c r="BW534" s="5"/>
      <c r="BX534" s="5"/>
      <c r="BY534" s="5"/>
      <c r="BZ534" s="5"/>
      <c r="CA534" s="5"/>
      <c r="CB534" s="5"/>
      <c r="CC534" s="5"/>
      <c r="CD534" s="5"/>
      <c r="CE534" s="5"/>
      <c r="CF534" s="5"/>
      <c r="CG534" s="5"/>
      <c r="CH534" s="5"/>
      <c r="CI534" s="5"/>
    </row>
    <row r="535" ht="14.25" customHeight="1">
      <c r="B535" s="1"/>
      <c r="D535" s="1"/>
      <c r="E535" s="33"/>
      <c r="F535" s="34"/>
      <c r="G535" s="5"/>
      <c r="H535" s="5"/>
      <c r="I535" s="5"/>
      <c r="J535" s="5"/>
      <c r="K535" s="5"/>
      <c r="L535" s="5"/>
      <c r="M535" s="32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/>
      <c r="BF535" s="5"/>
      <c r="BG535" s="5"/>
      <c r="BH535" s="5"/>
      <c r="BI535" s="5"/>
      <c r="BJ535" s="5"/>
      <c r="BK535" s="5"/>
      <c r="BL535" s="5"/>
      <c r="BM535" s="5"/>
      <c r="BN535" s="5"/>
      <c r="BO535" s="5"/>
      <c r="BP535" s="5"/>
      <c r="BQ535" s="5"/>
      <c r="BR535" s="5"/>
      <c r="BS535" s="5"/>
      <c r="BT535" s="5"/>
      <c r="BU535" s="5"/>
      <c r="BV535" s="5"/>
      <c r="BW535" s="5"/>
      <c r="BX535" s="5"/>
      <c r="BY535" s="5"/>
      <c r="BZ535" s="5"/>
      <c r="CA535" s="5"/>
      <c r="CB535" s="5"/>
      <c r="CC535" s="5"/>
      <c r="CD535" s="5"/>
      <c r="CE535" s="5"/>
      <c r="CF535" s="5"/>
      <c r="CG535" s="5"/>
      <c r="CH535" s="5"/>
      <c r="CI535" s="5"/>
    </row>
    <row r="536" ht="14.25" customHeight="1">
      <c r="B536" s="1"/>
      <c r="D536" s="1"/>
      <c r="E536" s="33"/>
      <c r="F536" s="34"/>
      <c r="G536" s="5"/>
      <c r="H536" s="5"/>
      <c r="I536" s="5"/>
      <c r="J536" s="5"/>
      <c r="K536" s="5"/>
      <c r="L536" s="5"/>
      <c r="M536" s="32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/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/>
      <c r="BF536" s="5"/>
      <c r="BG536" s="5"/>
      <c r="BH536" s="5"/>
      <c r="BI536" s="5"/>
      <c r="BJ536" s="5"/>
      <c r="BK536" s="5"/>
      <c r="BL536" s="5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/>
      <c r="BY536" s="5"/>
      <c r="BZ536" s="5"/>
      <c r="CA536" s="5"/>
      <c r="CB536" s="5"/>
      <c r="CC536" s="5"/>
      <c r="CD536" s="5"/>
      <c r="CE536" s="5"/>
      <c r="CF536" s="5"/>
      <c r="CG536" s="5"/>
      <c r="CH536" s="5"/>
      <c r="CI536" s="5"/>
    </row>
    <row r="537" ht="14.25" customHeight="1">
      <c r="B537" s="1"/>
      <c r="D537" s="1"/>
      <c r="E537" s="33"/>
      <c r="F537" s="34"/>
      <c r="G537" s="5"/>
      <c r="H537" s="5"/>
      <c r="I537" s="5"/>
      <c r="J537" s="5"/>
      <c r="K537" s="5"/>
      <c r="L537" s="5"/>
      <c r="M537" s="32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/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/>
      <c r="BF537" s="5"/>
      <c r="BG537" s="5"/>
      <c r="BH537" s="5"/>
      <c r="BI537" s="5"/>
      <c r="BJ537" s="5"/>
      <c r="BK537" s="5"/>
      <c r="BL537" s="5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/>
      <c r="BY537" s="5"/>
      <c r="BZ537" s="5"/>
      <c r="CA537" s="5"/>
      <c r="CB537" s="5"/>
      <c r="CC537" s="5"/>
      <c r="CD537" s="5"/>
      <c r="CE537" s="5"/>
      <c r="CF537" s="5"/>
      <c r="CG537" s="5"/>
      <c r="CH537" s="5"/>
      <c r="CI537" s="5"/>
    </row>
    <row r="538" ht="14.25" customHeight="1">
      <c r="B538" s="1"/>
      <c r="D538" s="1"/>
      <c r="E538" s="33"/>
      <c r="F538" s="34"/>
      <c r="G538" s="5"/>
      <c r="H538" s="5"/>
      <c r="I538" s="5"/>
      <c r="J538" s="5"/>
      <c r="K538" s="5"/>
      <c r="L538" s="5"/>
      <c r="M538" s="32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/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/>
      <c r="BF538" s="5"/>
      <c r="BG538" s="5"/>
      <c r="BH538" s="5"/>
      <c r="BI538" s="5"/>
      <c r="BJ538" s="5"/>
      <c r="BK538" s="5"/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/>
      <c r="BY538" s="5"/>
      <c r="BZ538" s="5"/>
      <c r="CA538" s="5"/>
      <c r="CB538" s="5"/>
      <c r="CC538" s="5"/>
      <c r="CD538" s="5"/>
      <c r="CE538" s="5"/>
      <c r="CF538" s="5"/>
      <c r="CG538" s="5"/>
      <c r="CH538" s="5"/>
      <c r="CI538" s="5"/>
    </row>
    <row r="539" ht="14.25" customHeight="1">
      <c r="B539" s="1"/>
      <c r="D539" s="1"/>
      <c r="E539" s="33"/>
      <c r="F539" s="34"/>
      <c r="G539" s="5"/>
      <c r="H539" s="5"/>
      <c r="I539" s="5"/>
      <c r="J539" s="5"/>
      <c r="K539" s="5"/>
      <c r="L539" s="5"/>
      <c r="M539" s="32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/>
      <c r="BZ539" s="5"/>
      <c r="CA539" s="5"/>
      <c r="CB539" s="5"/>
      <c r="CC539" s="5"/>
      <c r="CD539" s="5"/>
      <c r="CE539" s="5"/>
      <c r="CF539" s="5"/>
      <c r="CG539" s="5"/>
      <c r="CH539" s="5"/>
      <c r="CI539" s="5"/>
    </row>
    <row r="540" ht="14.25" customHeight="1">
      <c r="B540" s="1"/>
      <c r="D540" s="1"/>
      <c r="E540" s="33"/>
      <c r="F540" s="34"/>
      <c r="G540" s="5"/>
      <c r="H540" s="5"/>
      <c r="I540" s="5"/>
      <c r="J540" s="5"/>
      <c r="K540" s="5"/>
      <c r="L540" s="5"/>
      <c r="M540" s="32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/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5"/>
      <c r="CB540" s="5"/>
      <c r="CC540" s="5"/>
      <c r="CD540" s="5"/>
      <c r="CE540" s="5"/>
      <c r="CF540" s="5"/>
      <c r="CG540" s="5"/>
      <c r="CH540" s="5"/>
      <c r="CI540" s="5"/>
    </row>
    <row r="541" ht="14.25" customHeight="1">
      <c r="B541" s="1"/>
      <c r="D541" s="1"/>
      <c r="E541" s="33"/>
      <c r="F541" s="34"/>
      <c r="G541" s="5"/>
      <c r="H541" s="5"/>
      <c r="I541" s="5"/>
      <c r="J541" s="5"/>
      <c r="K541" s="5"/>
      <c r="L541" s="5"/>
      <c r="M541" s="32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5"/>
      <c r="CB541" s="5"/>
      <c r="CC541" s="5"/>
      <c r="CD541" s="5"/>
      <c r="CE541" s="5"/>
      <c r="CF541" s="5"/>
      <c r="CG541" s="5"/>
      <c r="CH541" s="5"/>
      <c r="CI541" s="5"/>
    </row>
    <row r="542" ht="14.25" customHeight="1">
      <c r="B542" s="1"/>
      <c r="D542" s="1"/>
      <c r="E542" s="33"/>
      <c r="F542" s="34"/>
      <c r="G542" s="5"/>
      <c r="H542" s="5"/>
      <c r="I542" s="5"/>
      <c r="J542" s="5"/>
      <c r="K542" s="5"/>
      <c r="L542" s="5"/>
      <c r="M542" s="32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5"/>
      <c r="CB542" s="5"/>
      <c r="CC542" s="5"/>
      <c r="CD542" s="5"/>
      <c r="CE542" s="5"/>
      <c r="CF542" s="5"/>
      <c r="CG542" s="5"/>
      <c r="CH542" s="5"/>
      <c r="CI542" s="5"/>
    </row>
    <row r="543" ht="14.25" customHeight="1">
      <c r="B543" s="1"/>
      <c r="D543" s="1"/>
      <c r="E543" s="33"/>
      <c r="F543" s="34"/>
      <c r="G543" s="5"/>
      <c r="H543" s="5"/>
      <c r="I543" s="5"/>
      <c r="J543" s="5"/>
      <c r="K543" s="5"/>
      <c r="L543" s="5"/>
      <c r="M543" s="32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/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5"/>
      <c r="CB543" s="5"/>
      <c r="CC543" s="5"/>
      <c r="CD543" s="5"/>
      <c r="CE543" s="5"/>
      <c r="CF543" s="5"/>
      <c r="CG543" s="5"/>
      <c r="CH543" s="5"/>
      <c r="CI543" s="5"/>
    </row>
    <row r="544" ht="14.25" customHeight="1">
      <c r="B544" s="1"/>
      <c r="D544" s="1"/>
      <c r="E544" s="33"/>
      <c r="F544" s="34"/>
      <c r="G544" s="5"/>
      <c r="H544" s="5"/>
      <c r="I544" s="5"/>
      <c r="J544" s="5"/>
      <c r="K544" s="5"/>
      <c r="L544" s="5"/>
      <c r="M544" s="32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/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5"/>
      <c r="CB544" s="5"/>
      <c r="CC544" s="5"/>
      <c r="CD544" s="5"/>
      <c r="CE544" s="5"/>
      <c r="CF544" s="5"/>
      <c r="CG544" s="5"/>
      <c r="CH544" s="5"/>
      <c r="CI544" s="5"/>
    </row>
    <row r="545" ht="14.25" customHeight="1">
      <c r="B545" s="1"/>
      <c r="D545" s="1"/>
      <c r="E545" s="33"/>
      <c r="F545" s="34"/>
      <c r="G545" s="5"/>
      <c r="H545" s="5"/>
      <c r="I545" s="5"/>
      <c r="J545" s="5"/>
      <c r="K545" s="5"/>
      <c r="L545" s="5"/>
      <c r="M545" s="32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/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5"/>
      <c r="CB545" s="5"/>
      <c r="CC545" s="5"/>
      <c r="CD545" s="5"/>
      <c r="CE545" s="5"/>
      <c r="CF545" s="5"/>
      <c r="CG545" s="5"/>
      <c r="CH545" s="5"/>
      <c r="CI545" s="5"/>
    </row>
    <row r="546" ht="14.25" customHeight="1">
      <c r="B546" s="1"/>
      <c r="D546" s="1"/>
      <c r="E546" s="33"/>
      <c r="F546" s="34"/>
      <c r="G546" s="5"/>
      <c r="H546" s="5"/>
      <c r="I546" s="5"/>
      <c r="J546" s="5"/>
      <c r="K546" s="5"/>
      <c r="L546" s="5"/>
      <c r="M546" s="32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/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5"/>
      <c r="CB546" s="5"/>
      <c r="CC546" s="5"/>
      <c r="CD546" s="5"/>
      <c r="CE546" s="5"/>
      <c r="CF546" s="5"/>
      <c r="CG546" s="5"/>
      <c r="CH546" s="5"/>
      <c r="CI546" s="5"/>
    </row>
    <row r="547" ht="14.25" customHeight="1">
      <c r="B547" s="1"/>
      <c r="D547" s="1"/>
      <c r="E547" s="33"/>
      <c r="F547" s="34"/>
      <c r="G547" s="5"/>
      <c r="H547" s="5"/>
      <c r="I547" s="5"/>
      <c r="J547" s="5"/>
      <c r="K547" s="5"/>
      <c r="L547" s="5"/>
      <c r="M547" s="32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/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5"/>
      <c r="CB547" s="5"/>
      <c r="CC547" s="5"/>
      <c r="CD547" s="5"/>
      <c r="CE547" s="5"/>
      <c r="CF547" s="5"/>
      <c r="CG547" s="5"/>
      <c r="CH547" s="5"/>
      <c r="CI547" s="5"/>
    </row>
    <row r="548" ht="14.25" customHeight="1">
      <c r="B548" s="1"/>
      <c r="D548" s="1"/>
      <c r="E548" s="33"/>
      <c r="F548" s="34"/>
      <c r="G548" s="5"/>
      <c r="H548" s="5"/>
      <c r="I548" s="5"/>
      <c r="J548" s="5"/>
      <c r="K548" s="5"/>
      <c r="L548" s="5"/>
      <c r="M548" s="32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/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5"/>
      <c r="CB548" s="5"/>
      <c r="CC548" s="5"/>
      <c r="CD548" s="5"/>
      <c r="CE548" s="5"/>
      <c r="CF548" s="5"/>
      <c r="CG548" s="5"/>
      <c r="CH548" s="5"/>
      <c r="CI548" s="5"/>
    </row>
    <row r="549" ht="14.25" customHeight="1">
      <c r="B549" s="1"/>
      <c r="D549" s="1"/>
      <c r="E549" s="33"/>
      <c r="F549" s="34"/>
      <c r="G549" s="5"/>
      <c r="H549" s="5"/>
      <c r="I549" s="5"/>
      <c r="J549" s="5"/>
      <c r="K549" s="5"/>
      <c r="L549" s="5"/>
      <c r="M549" s="32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/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5"/>
      <c r="CB549" s="5"/>
      <c r="CC549" s="5"/>
      <c r="CD549" s="5"/>
      <c r="CE549" s="5"/>
      <c r="CF549" s="5"/>
      <c r="CG549" s="5"/>
      <c r="CH549" s="5"/>
      <c r="CI549" s="5"/>
    </row>
    <row r="550" ht="14.25" customHeight="1">
      <c r="B550" s="1"/>
      <c r="D550" s="1"/>
      <c r="E550" s="33"/>
      <c r="F550" s="34"/>
      <c r="G550" s="5"/>
      <c r="H550" s="5"/>
      <c r="I550" s="5"/>
      <c r="J550" s="5"/>
      <c r="K550" s="5"/>
      <c r="L550" s="5"/>
      <c r="M550" s="32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/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5"/>
      <c r="CB550" s="5"/>
      <c r="CC550" s="5"/>
      <c r="CD550" s="5"/>
      <c r="CE550" s="5"/>
      <c r="CF550" s="5"/>
      <c r="CG550" s="5"/>
      <c r="CH550" s="5"/>
      <c r="CI550" s="5"/>
    </row>
    <row r="551" ht="14.25" customHeight="1">
      <c r="B551" s="1"/>
      <c r="D551" s="1"/>
      <c r="E551" s="33"/>
      <c r="F551" s="34"/>
      <c r="G551" s="5"/>
      <c r="H551" s="5"/>
      <c r="I551" s="5"/>
      <c r="J551" s="5"/>
      <c r="K551" s="5"/>
      <c r="L551" s="5"/>
      <c r="M551" s="32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/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5"/>
      <c r="CB551" s="5"/>
      <c r="CC551" s="5"/>
      <c r="CD551" s="5"/>
      <c r="CE551" s="5"/>
      <c r="CF551" s="5"/>
      <c r="CG551" s="5"/>
      <c r="CH551" s="5"/>
      <c r="CI551" s="5"/>
    </row>
    <row r="552" ht="14.25" customHeight="1">
      <c r="B552" s="1"/>
      <c r="D552" s="1"/>
      <c r="E552" s="33"/>
      <c r="F552" s="34"/>
      <c r="G552" s="5"/>
      <c r="H552" s="5"/>
      <c r="I552" s="5"/>
      <c r="J552" s="5"/>
      <c r="K552" s="5"/>
      <c r="L552" s="5"/>
      <c r="M552" s="32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/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5"/>
      <c r="CB552" s="5"/>
      <c r="CC552" s="5"/>
      <c r="CD552" s="5"/>
      <c r="CE552" s="5"/>
      <c r="CF552" s="5"/>
      <c r="CG552" s="5"/>
      <c r="CH552" s="5"/>
      <c r="CI552" s="5"/>
    </row>
    <row r="553" ht="14.25" customHeight="1">
      <c r="B553" s="1"/>
      <c r="D553" s="1"/>
      <c r="E553" s="33"/>
      <c r="F553" s="34"/>
      <c r="G553" s="5"/>
      <c r="H553" s="5"/>
      <c r="I553" s="5"/>
      <c r="J553" s="5"/>
      <c r="K553" s="5"/>
      <c r="L553" s="5"/>
      <c r="M553" s="32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/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5"/>
      <c r="CB553" s="5"/>
      <c r="CC553" s="5"/>
      <c r="CD553" s="5"/>
      <c r="CE553" s="5"/>
      <c r="CF553" s="5"/>
      <c r="CG553" s="5"/>
      <c r="CH553" s="5"/>
      <c r="CI553" s="5"/>
    </row>
    <row r="554" ht="14.25" customHeight="1">
      <c r="B554" s="1"/>
      <c r="D554" s="1"/>
      <c r="E554" s="33"/>
      <c r="F554" s="34"/>
      <c r="G554" s="5"/>
      <c r="H554" s="5"/>
      <c r="I554" s="5"/>
      <c r="J554" s="5"/>
      <c r="K554" s="5"/>
      <c r="L554" s="5"/>
      <c r="M554" s="32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/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5"/>
      <c r="CB554" s="5"/>
      <c r="CC554" s="5"/>
      <c r="CD554" s="5"/>
      <c r="CE554" s="5"/>
      <c r="CF554" s="5"/>
      <c r="CG554" s="5"/>
      <c r="CH554" s="5"/>
      <c r="CI554" s="5"/>
    </row>
    <row r="555" ht="14.25" customHeight="1">
      <c r="B555" s="1"/>
      <c r="D555" s="1"/>
      <c r="E555" s="33"/>
      <c r="F555" s="34"/>
      <c r="G555" s="5"/>
      <c r="H555" s="5"/>
      <c r="I555" s="5"/>
      <c r="J555" s="5"/>
      <c r="K555" s="5"/>
      <c r="L555" s="5"/>
      <c r="M555" s="32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/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5"/>
      <c r="CB555" s="5"/>
      <c r="CC555" s="5"/>
      <c r="CD555" s="5"/>
      <c r="CE555" s="5"/>
      <c r="CF555" s="5"/>
      <c r="CG555" s="5"/>
      <c r="CH555" s="5"/>
      <c r="CI555" s="5"/>
    </row>
    <row r="556" ht="14.25" customHeight="1">
      <c r="B556" s="1"/>
      <c r="D556" s="1"/>
      <c r="E556" s="33"/>
      <c r="F556" s="34"/>
      <c r="G556" s="5"/>
      <c r="H556" s="5"/>
      <c r="I556" s="5"/>
      <c r="J556" s="5"/>
      <c r="K556" s="5"/>
      <c r="L556" s="5"/>
      <c r="M556" s="32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/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/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5"/>
      <c r="CB556" s="5"/>
      <c r="CC556" s="5"/>
      <c r="CD556" s="5"/>
      <c r="CE556" s="5"/>
      <c r="CF556" s="5"/>
      <c r="CG556" s="5"/>
      <c r="CH556" s="5"/>
      <c r="CI556" s="5"/>
    </row>
    <row r="557" ht="14.25" customHeight="1">
      <c r="B557" s="1"/>
      <c r="D557" s="1"/>
      <c r="E557" s="33"/>
      <c r="F557" s="34"/>
      <c r="G557" s="5"/>
      <c r="H557" s="5"/>
      <c r="I557" s="5"/>
      <c r="J557" s="5"/>
      <c r="K557" s="5"/>
      <c r="L557" s="5"/>
      <c r="M557" s="32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/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5"/>
      <c r="CB557" s="5"/>
      <c r="CC557" s="5"/>
      <c r="CD557" s="5"/>
      <c r="CE557" s="5"/>
      <c r="CF557" s="5"/>
      <c r="CG557" s="5"/>
      <c r="CH557" s="5"/>
      <c r="CI557" s="5"/>
    </row>
    <row r="558" ht="14.25" customHeight="1">
      <c r="B558" s="1"/>
      <c r="D558" s="1"/>
      <c r="E558" s="33"/>
      <c r="F558" s="34"/>
      <c r="G558" s="5"/>
      <c r="H558" s="5"/>
      <c r="I558" s="5"/>
      <c r="J558" s="5"/>
      <c r="K558" s="5"/>
      <c r="L558" s="5"/>
      <c r="M558" s="32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/>
      <c r="BE558" s="5"/>
      <c r="BF558" s="5"/>
      <c r="BG558" s="5"/>
      <c r="BH558" s="5"/>
      <c r="BI558" s="5"/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5"/>
      <c r="CB558" s="5"/>
      <c r="CC558" s="5"/>
      <c r="CD558" s="5"/>
      <c r="CE558" s="5"/>
      <c r="CF558" s="5"/>
      <c r="CG558" s="5"/>
      <c r="CH558" s="5"/>
      <c r="CI558" s="5"/>
    </row>
    <row r="559" ht="14.25" customHeight="1">
      <c r="B559" s="1"/>
      <c r="D559" s="1"/>
      <c r="E559" s="33"/>
      <c r="F559" s="34"/>
      <c r="G559" s="5"/>
      <c r="H559" s="5"/>
      <c r="I559" s="5"/>
      <c r="J559" s="5"/>
      <c r="K559" s="5"/>
      <c r="L559" s="5"/>
      <c r="M559" s="32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/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/>
      <c r="BE559" s="5"/>
      <c r="BF559" s="5"/>
      <c r="BG559" s="5"/>
      <c r="BH559" s="5"/>
      <c r="BI559" s="5"/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5"/>
      <c r="CB559" s="5"/>
      <c r="CC559" s="5"/>
      <c r="CD559" s="5"/>
      <c r="CE559" s="5"/>
      <c r="CF559" s="5"/>
      <c r="CG559" s="5"/>
      <c r="CH559" s="5"/>
      <c r="CI559" s="5"/>
    </row>
    <row r="560" ht="14.25" customHeight="1">
      <c r="B560" s="1"/>
      <c r="D560" s="1"/>
      <c r="E560" s="33"/>
      <c r="F560" s="34"/>
      <c r="G560" s="5"/>
      <c r="H560" s="5"/>
      <c r="I560" s="5"/>
      <c r="J560" s="5"/>
      <c r="K560" s="5"/>
      <c r="L560" s="5"/>
      <c r="M560" s="32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/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/>
      <c r="BE560" s="5"/>
      <c r="BF560" s="5"/>
      <c r="BG560" s="5"/>
      <c r="BH560" s="5"/>
      <c r="BI560" s="5"/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5"/>
      <c r="CB560" s="5"/>
      <c r="CC560" s="5"/>
      <c r="CD560" s="5"/>
      <c r="CE560" s="5"/>
      <c r="CF560" s="5"/>
      <c r="CG560" s="5"/>
      <c r="CH560" s="5"/>
      <c r="CI560" s="5"/>
    </row>
    <row r="561" ht="14.25" customHeight="1">
      <c r="B561" s="1"/>
      <c r="D561" s="1"/>
      <c r="E561" s="33"/>
      <c r="F561" s="34"/>
      <c r="G561" s="5"/>
      <c r="H561" s="5"/>
      <c r="I561" s="5"/>
      <c r="J561" s="5"/>
      <c r="K561" s="5"/>
      <c r="L561" s="5"/>
      <c r="M561" s="32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/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/>
      <c r="BE561" s="5"/>
      <c r="BF561" s="5"/>
      <c r="BG561" s="5"/>
      <c r="BH561" s="5"/>
      <c r="BI561" s="5"/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5"/>
      <c r="CB561" s="5"/>
      <c r="CC561" s="5"/>
      <c r="CD561" s="5"/>
      <c r="CE561" s="5"/>
      <c r="CF561" s="5"/>
      <c r="CG561" s="5"/>
      <c r="CH561" s="5"/>
      <c r="CI561" s="5"/>
    </row>
    <row r="562" ht="14.25" customHeight="1">
      <c r="B562" s="1"/>
      <c r="D562" s="1"/>
      <c r="E562" s="33"/>
      <c r="F562" s="34"/>
      <c r="G562" s="5"/>
      <c r="H562" s="5"/>
      <c r="I562" s="5"/>
      <c r="J562" s="5"/>
      <c r="K562" s="5"/>
      <c r="L562" s="5"/>
      <c r="M562" s="32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/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/>
      <c r="BE562" s="5"/>
      <c r="BF562" s="5"/>
      <c r="BG562" s="5"/>
      <c r="BH562" s="5"/>
      <c r="BI562" s="5"/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5"/>
      <c r="CB562" s="5"/>
      <c r="CC562" s="5"/>
      <c r="CD562" s="5"/>
      <c r="CE562" s="5"/>
      <c r="CF562" s="5"/>
      <c r="CG562" s="5"/>
      <c r="CH562" s="5"/>
      <c r="CI562" s="5"/>
    </row>
    <row r="563" ht="14.25" customHeight="1">
      <c r="B563" s="1"/>
      <c r="D563" s="1"/>
      <c r="E563" s="33"/>
      <c r="F563" s="34"/>
      <c r="G563" s="5"/>
      <c r="H563" s="5"/>
      <c r="I563" s="5"/>
      <c r="J563" s="5"/>
      <c r="K563" s="5"/>
      <c r="L563" s="5"/>
      <c r="M563" s="32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/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/>
      <c r="BE563" s="5"/>
      <c r="BF563" s="5"/>
      <c r="BG563" s="5"/>
      <c r="BH563" s="5"/>
      <c r="BI563" s="5"/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5"/>
      <c r="CB563" s="5"/>
      <c r="CC563" s="5"/>
      <c r="CD563" s="5"/>
      <c r="CE563" s="5"/>
      <c r="CF563" s="5"/>
      <c r="CG563" s="5"/>
      <c r="CH563" s="5"/>
      <c r="CI563" s="5"/>
    </row>
    <row r="564" ht="14.25" customHeight="1">
      <c r="B564" s="1"/>
      <c r="D564" s="1"/>
      <c r="E564" s="33"/>
      <c r="F564" s="34"/>
      <c r="G564" s="5"/>
      <c r="H564" s="5"/>
      <c r="I564" s="5"/>
      <c r="J564" s="5"/>
      <c r="K564" s="5"/>
      <c r="L564" s="5"/>
      <c r="M564" s="32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/>
      <c r="BE564" s="5"/>
      <c r="BF564" s="5"/>
      <c r="BG564" s="5"/>
      <c r="BH564" s="5"/>
      <c r="BI564" s="5"/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5"/>
      <c r="CB564" s="5"/>
      <c r="CC564" s="5"/>
      <c r="CD564" s="5"/>
      <c r="CE564" s="5"/>
      <c r="CF564" s="5"/>
      <c r="CG564" s="5"/>
      <c r="CH564" s="5"/>
      <c r="CI564" s="5"/>
    </row>
    <row r="565" ht="14.25" customHeight="1">
      <c r="B565" s="1"/>
      <c r="D565" s="1"/>
      <c r="E565" s="33"/>
      <c r="F565" s="34"/>
      <c r="G565" s="5"/>
      <c r="H565" s="5"/>
      <c r="I565" s="5"/>
      <c r="J565" s="5"/>
      <c r="K565" s="5"/>
      <c r="L565" s="5"/>
      <c r="M565" s="32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/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/>
      <c r="BE565" s="5"/>
      <c r="BF565" s="5"/>
      <c r="BG565" s="5"/>
      <c r="BH565" s="5"/>
      <c r="BI565" s="5"/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5"/>
      <c r="CB565" s="5"/>
      <c r="CC565" s="5"/>
      <c r="CD565" s="5"/>
      <c r="CE565" s="5"/>
      <c r="CF565" s="5"/>
      <c r="CG565" s="5"/>
      <c r="CH565" s="5"/>
      <c r="CI565" s="5"/>
    </row>
    <row r="566" ht="14.25" customHeight="1">
      <c r="B566" s="1"/>
      <c r="D566" s="1"/>
      <c r="E566" s="33"/>
      <c r="F566" s="34"/>
      <c r="G566" s="5"/>
      <c r="H566" s="5"/>
      <c r="I566" s="5"/>
      <c r="J566" s="5"/>
      <c r="K566" s="5"/>
      <c r="L566" s="5"/>
      <c r="M566" s="32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/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/>
      <c r="BE566" s="5"/>
      <c r="BF566" s="5"/>
      <c r="BG566" s="5"/>
      <c r="BH566" s="5"/>
      <c r="BI566" s="5"/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5"/>
      <c r="CB566" s="5"/>
      <c r="CC566" s="5"/>
      <c r="CD566" s="5"/>
      <c r="CE566" s="5"/>
      <c r="CF566" s="5"/>
      <c r="CG566" s="5"/>
      <c r="CH566" s="5"/>
      <c r="CI566" s="5"/>
    </row>
    <row r="567" ht="14.25" customHeight="1">
      <c r="B567" s="1"/>
      <c r="D567" s="1"/>
      <c r="E567" s="33"/>
      <c r="F567" s="34"/>
      <c r="G567" s="5"/>
      <c r="H567" s="5"/>
      <c r="I567" s="5"/>
      <c r="J567" s="5"/>
      <c r="K567" s="5"/>
      <c r="L567" s="5"/>
      <c r="M567" s="32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/>
      <c r="BE567" s="5"/>
      <c r="BF567" s="5"/>
      <c r="BG567" s="5"/>
      <c r="BH567" s="5"/>
      <c r="BI567" s="5"/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5"/>
      <c r="CB567" s="5"/>
      <c r="CC567" s="5"/>
      <c r="CD567" s="5"/>
      <c r="CE567" s="5"/>
      <c r="CF567" s="5"/>
      <c r="CG567" s="5"/>
      <c r="CH567" s="5"/>
      <c r="CI567" s="5"/>
    </row>
    <row r="568" ht="14.25" customHeight="1">
      <c r="B568" s="1"/>
      <c r="D568" s="1"/>
      <c r="E568" s="33"/>
      <c r="F568" s="34"/>
      <c r="G568" s="5"/>
      <c r="H568" s="5"/>
      <c r="I568" s="5"/>
      <c r="J568" s="5"/>
      <c r="K568" s="5"/>
      <c r="L568" s="5"/>
      <c r="M568" s="32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/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/>
      <c r="BE568" s="5"/>
      <c r="BF568" s="5"/>
      <c r="BG568" s="5"/>
      <c r="BH568" s="5"/>
      <c r="BI568" s="5"/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5"/>
      <c r="CB568" s="5"/>
      <c r="CC568" s="5"/>
      <c r="CD568" s="5"/>
      <c r="CE568" s="5"/>
      <c r="CF568" s="5"/>
      <c r="CG568" s="5"/>
      <c r="CH568" s="5"/>
      <c r="CI568" s="5"/>
    </row>
    <row r="569" ht="14.25" customHeight="1">
      <c r="B569" s="1"/>
      <c r="D569" s="1"/>
      <c r="E569" s="33"/>
      <c r="F569" s="34"/>
      <c r="G569" s="5"/>
      <c r="H569" s="5"/>
      <c r="I569" s="5"/>
      <c r="J569" s="5"/>
      <c r="K569" s="5"/>
      <c r="L569" s="5"/>
      <c r="M569" s="32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/>
      <c r="BE569" s="5"/>
      <c r="BF569" s="5"/>
      <c r="BG569" s="5"/>
      <c r="BH569" s="5"/>
      <c r="BI569" s="5"/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5"/>
      <c r="CB569" s="5"/>
      <c r="CC569" s="5"/>
      <c r="CD569" s="5"/>
      <c r="CE569" s="5"/>
      <c r="CF569" s="5"/>
      <c r="CG569" s="5"/>
      <c r="CH569" s="5"/>
      <c r="CI569" s="5"/>
    </row>
    <row r="570" ht="14.25" customHeight="1">
      <c r="B570" s="1"/>
      <c r="D570" s="1"/>
      <c r="E570" s="33"/>
      <c r="F570" s="34"/>
      <c r="G570" s="5"/>
      <c r="H570" s="5"/>
      <c r="I570" s="5"/>
      <c r="J570" s="5"/>
      <c r="K570" s="5"/>
      <c r="L570" s="5"/>
      <c r="M570" s="32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/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/>
      <c r="BE570" s="5"/>
      <c r="BF570" s="5"/>
      <c r="BG570" s="5"/>
      <c r="BH570" s="5"/>
      <c r="BI570" s="5"/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5"/>
      <c r="CB570" s="5"/>
      <c r="CC570" s="5"/>
      <c r="CD570" s="5"/>
      <c r="CE570" s="5"/>
      <c r="CF570" s="5"/>
      <c r="CG570" s="5"/>
      <c r="CH570" s="5"/>
      <c r="CI570" s="5"/>
    </row>
    <row r="571" ht="14.25" customHeight="1">
      <c r="B571" s="1"/>
      <c r="D571" s="1"/>
      <c r="E571" s="33"/>
      <c r="F571" s="34"/>
      <c r="G571" s="5"/>
      <c r="H571" s="5"/>
      <c r="I571" s="5"/>
      <c r="J571" s="5"/>
      <c r="K571" s="5"/>
      <c r="L571" s="5"/>
      <c r="M571" s="32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/>
      <c r="BE571" s="5"/>
      <c r="BF571" s="5"/>
      <c r="BG571" s="5"/>
      <c r="BH571" s="5"/>
      <c r="BI571" s="5"/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5"/>
      <c r="CB571" s="5"/>
      <c r="CC571" s="5"/>
      <c r="CD571" s="5"/>
      <c r="CE571" s="5"/>
      <c r="CF571" s="5"/>
      <c r="CG571" s="5"/>
      <c r="CH571" s="5"/>
      <c r="CI571" s="5"/>
    </row>
    <row r="572" ht="14.25" customHeight="1">
      <c r="B572" s="1"/>
      <c r="D572" s="1"/>
      <c r="E572" s="33"/>
      <c r="F572" s="34"/>
      <c r="G572" s="5"/>
      <c r="H572" s="5"/>
      <c r="I572" s="5"/>
      <c r="J572" s="5"/>
      <c r="K572" s="5"/>
      <c r="L572" s="5"/>
      <c r="M572" s="32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/>
      <c r="BE572" s="5"/>
      <c r="BF572" s="5"/>
      <c r="BG572" s="5"/>
      <c r="BH572" s="5"/>
      <c r="BI572" s="5"/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5"/>
      <c r="CB572" s="5"/>
      <c r="CC572" s="5"/>
      <c r="CD572" s="5"/>
      <c r="CE572" s="5"/>
      <c r="CF572" s="5"/>
      <c r="CG572" s="5"/>
      <c r="CH572" s="5"/>
      <c r="CI572" s="5"/>
    </row>
    <row r="573" ht="14.25" customHeight="1">
      <c r="B573" s="1"/>
      <c r="D573" s="1"/>
      <c r="E573" s="33"/>
      <c r="F573" s="34"/>
      <c r="G573" s="5"/>
      <c r="H573" s="5"/>
      <c r="I573" s="5"/>
      <c r="J573" s="5"/>
      <c r="K573" s="5"/>
      <c r="L573" s="5"/>
      <c r="M573" s="32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/>
      <c r="BE573" s="5"/>
      <c r="BF573" s="5"/>
      <c r="BG573" s="5"/>
      <c r="BH573" s="5"/>
      <c r="BI573" s="5"/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5"/>
      <c r="CB573" s="5"/>
      <c r="CC573" s="5"/>
      <c r="CD573" s="5"/>
      <c r="CE573" s="5"/>
      <c r="CF573" s="5"/>
      <c r="CG573" s="5"/>
      <c r="CH573" s="5"/>
      <c r="CI573" s="5"/>
    </row>
    <row r="574" ht="14.25" customHeight="1">
      <c r="B574" s="1"/>
      <c r="D574" s="1"/>
      <c r="E574" s="33"/>
      <c r="F574" s="34"/>
      <c r="G574" s="5"/>
      <c r="H574" s="5"/>
      <c r="I574" s="5"/>
      <c r="J574" s="5"/>
      <c r="K574" s="5"/>
      <c r="L574" s="5"/>
      <c r="M574" s="32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/>
      <c r="BE574" s="5"/>
      <c r="BF574" s="5"/>
      <c r="BG574" s="5"/>
      <c r="BH574" s="5"/>
      <c r="BI574" s="5"/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5"/>
      <c r="CB574" s="5"/>
      <c r="CC574" s="5"/>
      <c r="CD574" s="5"/>
      <c r="CE574" s="5"/>
      <c r="CF574" s="5"/>
      <c r="CG574" s="5"/>
      <c r="CH574" s="5"/>
      <c r="CI574" s="5"/>
    </row>
    <row r="575" ht="14.25" customHeight="1">
      <c r="B575" s="1"/>
      <c r="D575" s="1"/>
      <c r="E575" s="33"/>
      <c r="F575" s="34"/>
      <c r="G575" s="5"/>
      <c r="H575" s="5"/>
      <c r="I575" s="5"/>
      <c r="J575" s="5"/>
      <c r="K575" s="5"/>
      <c r="L575" s="5"/>
      <c r="M575" s="32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/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/>
      <c r="BE575" s="5"/>
      <c r="BF575" s="5"/>
      <c r="BG575" s="5"/>
      <c r="BH575" s="5"/>
      <c r="BI575" s="5"/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5"/>
      <c r="CB575" s="5"/>
      <c r="CC575" s="5"/>
      <c r="CD575" s="5"/>
      <c r="CE575" s="5"/>
      <c r="CF575" s="5"/>
      <c r="CG575" s="5"/>
      <c r="CH575" s="5"/>
      <c r="CI575" s="5"/>
    </row>
    <row r="576" ht="14.25" customHeight="1">
      <c r="B576" s="1"/>
      <c r="D576" s="1"/>
      <c r="E576" s="33"/>
      <c r="F576" s="34"/>
      <c r="G576" s="5"/>
      <c r="H576" s="5"/>
      <c r="I576" s="5"/>
      <c r="J576" s="5"/>
      <c r="K576" s="5"/>
      <c r="L576" s="5"/>
      <c r="M576" s="32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/>
      <c r="BE576" s="5"/>
      <c r="BF576" s="5"/>
      <c r="BG576" s="5"/>
      <c r="BH576" s="5"/>
      <c r="BI576" s="5"/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5"/>
      <c r="CB576" s="5"/>
      <c r="CC576" s="5"/>
      <c r="CD576" s="5"/>
      <c r="CE576" s="5"/>
      <c r="CF576" s="5"/>
      <c r="CG576" s="5"/>
      <c r="CH576" s="5"/>
      <c r="CI576" s="5"/>
    </row>
    <row r="577" ht="14.25" customHeight="1">
      <c r="B577" s="1"/>
      <c r="D577" s="1"/>
      <c r="E577" s="33"/>
      <c r="F577" s="34"/>
      <c r="G577" s="5"/>
      <c r="H577" s="5"/>
      <c r="I577" s="5"/>
      <c r="J577" s="5"/>
      <c r="K577" s="5"/>
      <c r="L577" s="5"/>
      <c r="M577" s="32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/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/>
      <c r="BE577" s="5"/>
      <c r="BF577" s="5"/>
      <c r="BG577" s="5"/>
      <c r="BH577" s="5"/>
      <c r="BI577" s="5"/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5"/>
      <c r="CB577" s="5"/>
      <c r="CC577" s="5"/>
      <c r="CD577" s="5"/>
      <c r="CE577" s="5"/>
      <c r="CF577" s="5"/>
      <c r="CG577" s="5"/>
      <c r="CH577" s="5"/>
      <c r="CI577" s="5"/>
    </row>
    <row r="578" ht="14.25" customHeight="1">
      <c r="B578" s="1"/>
      <c r="D578" s="1"/>
      <c r="E578" s="33"/>
      <c r="F578" s="34"/>
      <c r="G578" s="5"/>
      <c r="H578" s="5"/>
      <c r="I578" s="5"/>
      <c r="J578" s="5"/>
      <c r="K578" s="5"/>
      <c r="L578" s="5"/>
      <c r="M578" s="32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/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/>
      <c r="BE578" s="5"/>
      <c r="BF578" s="5"/>
      <c r="BG578" s="5"/>
      <c r="BH578" s="5"/>
      <c r="BI578" s="5"/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5"/>
      <c r="CB578" s="5"/>
      <c r="CC578" s="5"/>
      <c r="CD578" s="5"/>
      <c r="CE578" s="5"/>
      <c r="CF578" s="5"/>
      <c r="CG578" s="5"/>
      <c r="CH578" s="5"/>
      <c r="CI578" s="5"/>
    </row>
    <row r="579" ht="14.25" customHeight="1">
      <c r="B579" s="1"/>
      <c r="D579" s="1"/>
      <c r="E579" s="33"/>
      <c r="F579" s="34"/>
      <c r="G579" s="5"/>
      <c r="H579" s="5"/>
      <c r="I579" s="5"/>
      <c r="J579" s="5"/>
      <c r="K579" s="5"/>
      <c r="L579" s="5"/>
      <c r="M579" s="32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/>
      <c r="BE579" s="5"/>
      <c r="BF579" s="5"/>
      <c r="BG579" s="5"/>
      <c r="BH579" s="5"/>
      <c r="BI579" s="5"/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5"/>
      <c r="CB579" s="5"/>
      <c r="CC579" s="5"/>
      <c r="CD579" s="5"/>
      <c r="CE579" s="5"/>
      <c r="CF579" s="5"/>
      <c r="CG579" s="5"/>
      <c r="CH579" s="5"/>
      <c r="CI579" s="5"/>
    </row>
    <row r="580" ht="14.25" customHeight="1">
      <c r="B580" s="1"/>
      <c r="D580" s="1"/>
      <c r="E580" s="33"/>
      <c r="F580" s="34"/>
      <c r="G580" s="5"/>
      <c r="H580" s="5"/>
      <c r="I580" s="5"/>
      <c r="J580" s="5"/>
      <c r="K580" s="5"/>
      <c r="L580" s="5"/>
      <c r="M580" s="32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/>
      <c r="BE580" s="5"/>
      <c r="BF580" s="5"/>
      <c r="BG580" s="5"/>
      <c r="BH580" s="5"/>
      <c r="BI580" s="5"/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5"/>
      <c r="CB580" s="5"/>
      <c r="CC580" s="5"/>
      <c r="CD580" s="5"/>
      <c r="CE580" s="5"/>
      <c r="CF580" s="5"/>
      <c r="CG580" s="5"/>
      <c r="CH580" s="5"/>
      <c r="CI580" s="5"/>
    </row>
    <row r="581" ht="14.25" customHeight="1">
      <c r="B581" s="1"/>
      <c r="D581" s="1"/>
      <c r="E581" s="33"/>
      <c r="F581" s="34"/>
      <c r="G581" s="5"/>
      <c r="H581" s="5"/>
      <c r="I581" s="5"/>
      <c r="J581" s="5"/>
      <c r="K581" s="5"/>
      <c r="L581" s="5"/>
      <c r="M581" s="32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/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/>
      <c r="BE581" s="5"/>
      <c r="BF581" s="5"/>
      <c r="BG581" s="5"/>
      <c r="BH581" s="5"/>
      <c r="BI581" s="5"/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5"/>
      <c r="CB581" s="5"/>
      <c r="CC581" s="5"/>
      <c r="CD581" s="5"/>
      <c r="CE581" s="5"/>
      <c r="CF581" s="5"/>
      <c r="CG581" s="5"/>
      <c r="CH581" s="5"/>
      <c r="CI581" s="5"/>
    </row>
    <row r="582" ht="14.25" customHeight="1">
      <c r="B582" s="1"/>
      <c r="D582" s="1"/>
      <c r="E582" s="33"/>
      <c r="F582" s="34"/>
      <c r="G582" s="5"/>
      <c r="H582" s="5"/>
      <c r="I582" s="5"/>
      <c r="J582" s="5"/>
      <c r="K582" s="5"/>
      <c r="L582" s="5"/>
      <c r="M582" s="32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/>
      <c r="BE582" s="5"/>
      <c r="BF582" s="5"/>
      <c r="BG582" s="5"/>
      <c r="BH582" s="5"/>
      <c r="BI582" s="5"/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5"/>
      <c r="CB582" s="5"/>
      <c r="CC582" s="5"/>
      <c r="CD582" s="5"/>
      <c r="CE582" s="5"/>
      <c r="CF582" s="5"/>
      <c r="CG582" s="5"/>
      <c r="CH582" s="5"/>
      <c r="CI582" s="5"/>
    </row>
    <row r="583" ht="14.25" customHeight="1">
      <c r="B583" s="1"/>
      <c r="D583" s="1"/>
      <c r="E583" s="33"/>
      <c r="F583" s="34"/>
      <c r="G583" s="5"/>
      <c r="H583" s="5"/>
      <c r="I583" s="5"/>
      <c r="J583" s="5"/>
      <c r="K583" s="5"/>
      <c r="L583" s="5"/>
      <c r="M583" s="32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/>
      <c r="BE583" s="5"/>
      <c r="BF583" s="5"/>
      <c r="BG583" s="5"/>
      <c r="BH583" s="5"/>
      <c r="BI583" s="5"/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5"/>
      <c r="CB583" s="5"/>
      <c r="CC583" s="5"/>
      <c r="CD583" s="5"/>
      <c r="CE583" s="5"/>
      <c r="CF583" s="5"/>
      <c r="CG583" s="5"/>
      <c r="CH583" s="5"/>
      <c r="CI583" s="5"/>
    </row>
    <row r="584" ht="14.25" customHeight="1">
      <c r="B584" s="1"/>
      <c r="D584" s="1"/>
      <c r="E584" s="33"/>
      <c r="F584" s="34"/>
      <c r="G584" s="5"/>
      <c r="H584" s="5"/>
      <c r="I584" s="5"/>
      <c r="J584" s="5"/>
      <c r="K584" s="5"/>
      <c r="L584" s="5"/>
      <c r="M584" s="32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/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/>
      <c r="BE584" s="5"/>
      <c r="BF584" s="5"/>
      <c r="BG584" s="5"/>
      <c r="BH584" s="5"/>
      <c r="BI584" s="5"/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5"/>
      <c r="CB584" s="5"/>
      <c r="CC584" s="5"/>
      <c r="CD584" s="5"/>
      <c r="CE584" s="5"/>
      <c r="CF584" s="5"/>
      <c r="CG584" s="5"/>
      <c r="CH584" s="5"/>
      <c r="CI584" s="5"/>
    </row>
    <row r="585" ht="14.25" customHeight="1">
      <c r="B585" s="1"/>
      <c r="D585" s="1"/>
      <c r="E585" s="33"/>
      <c r="F585" s="34"/>
      <c r="G585" s="5"/>
      <c r="H585" s="5"/>
      <c r="I585" s="5"/>
      <c r="J585" s="5"/>
      <c r="K585" s="5"/>
      <c r="L585" s="5"/>
      <c r="M585" s="32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/>
      <c r="BE585" s="5"/>
      <c r="BF585" s="5"/>
      <c r="BG585" s="5"/>
      <c r="BH585" s="5"/>
      <c r="BI585" s="5"/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5"/>
      <c r="CB585" s="5"/>
      <c r="CC585" s="5"/>
      <c r="CD585" s="5"/>
      <c r="CE585" s="5"/>
      <c r="CF585" s="5"/>
      <c r="CG585" s="5"/>
      <c r="CH585" s="5"/>
      <c r="CI585" s="5"/>
    </row>
    <row r="586" ht="14.25" customHeight="1">
      <c r="B586" s="1"/>
      <c r="D586" s="1"/>
      <c r="E586" s="33"/>
      <c r="F586" s="34"/>
      <c r="G586" s="5"/>
      <c r="H586" s="5"/>
      <c r="I586" s="5"/>
      <c r="J586" s="5"/>
      <c r="K586" s="5"/>
      <c r="L586" s="5"/>
      <c r="M586" s="32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/>
      <c r="BE586" s="5"/>
      <c r="BF586" s="5"/>
      <c r="BG586" s="5"/>
      <c r="BH586" s="5"/>
      <c r="BI586" s="5"/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5"/>
      <c r="CB586" s="5"/>
      <c r="CC586" s="5"/>
      <c r="CD586" s="5"/>
      <c r="CE586" s="5"/>
      <c r="CF586" s="5"/>
      <c r="CG586" s="5"/>
      <c r="CH586" s="5"/>
      <c r="CI586" s="5"/>
    </row>
    <row r="587" ht="14.25" customHeight="1">
      <c r="B587" s="1"/>
      <c r="D587" s="1"/>
      <c r="E587" s="33"/>
      <c r="F587" s="34"/>
      <c r="G587" s="5"/>
      <c r="H587" s="5"/>
      <c r="I587" s="5"/>
      <c r="J587" s="5"/>
      <c r="K587" s="5"/>
      <c r="L587" s="5"/>
      <c r="M587" s="32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/>
      <c r="BE587" s="5"/>
      <c r="BF587" s="5"/>
      <c r="BG587" s="5"/>
      <c r="BH587" s="5"/>
      <c r="BI587" s="5"/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5"/>
      <c r="CB587" s="5"/>
      <c r="CC587" s="5"/>
      <c r="CD587" s="5"/>
      <c r="CE587" s="5"/>
      <c r="CF587" s="5"/>
      <c r="CG587" s="5"/>
      <c r="CH587" s="5"/>
      <c r="CI587" s="5"/>
    </row>
    <row r="588" ht="14.25" customHeight="1">
      <c r="B588" s="1"/>
      <c r="D588" s="1"/>
      <c r="E588" s="33"/>
      <c r="F588" s="34"/>
      <c r="G588" s="5"/>
      <c r="H588" s="5"/>
      <c r="I588" s="5"/>
      <c r="J588" s="5"/>
      <c r="K588" s="5"/>
      <c r="L588" s="5"/>
      <c r="M588" s="32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/>
      <c r="BE588" s="5"/>
      <c r="BF588" s="5"/>
      <c r="BG588" s="5"/>
      <c r="BH588" s="5"/>
      <c r="BI588" s="5"/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5"/>
      <c r="CB588" s="5"/>
      <c r="CC588" s="5"/>
      <c r="CD588" s="5"/>
      <c r="CE588" s="5"/>
      <c r="CF588" s="5"/>
      <c r="CG588" s="5"/>
      <c r="CH588" s="5"/>
      <c r="CI588" s="5"/>
    </row>
    <row r="589" ht="14.25" customHeight="1">
      <c r="B589" s="1"/>
      <c r="D589" s="1"/>
      <c r="E589" s="33"/>
      <c r="F589" s="34"/>
      <c r="G589" s="5"/>
      <c r="H589" s="5"/>
      <c r="I589" s="5"/>
      <c r="J589" s="5"/>
      <c r="K589" s="5"/>
      <c r="L589" s="5"/>
      <c r="M589" s="32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/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5"/>
      <c r="CB589" s="5"/>
      <c r="CC589" s="5"/>
      <c r="CD589" s="5"/>
      <c r="CE589" s="5"/>
      <c r="CF589" s="5"/>
      <c r="CG589" s="5"/>
      <c r="CH589" s="5"/>
      <c r="CI589" s="5"/>
    </row>
    <row r="590" ht="14.25" customHeight="1">
      <c r="B590" s="1"/>
      <c r="D590" s="1"/>
      <c r="E590" s="33"/>
      <c r="F590" s="34"/>
      <c r="G590" s="5"/>
      <c r="H590" s="5"/>
      <c r="I590" s="5"/>
      <c r="J590" s="5"/>
      <c r="K590" s="5"/>
      <c r="L590" s="5"/>
      <c r="M590" s="32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5"/>
      <c r="CB590" s="5"/>
      <c r="CC590" s="5"/>
      <c r="CD590" s="5"/>
      <c r="CE590" s="5"/>
      <c r="CF590" s="5"/>
      <c r="CG590" s="5"/>
      <c r="CH590" s="5"/>
      <c r="CI590" s="5"/>
    </row>
    <row r="591" ht="14.25" customHeight="1">
      <c r="B591" s="1"/>
      <c r="D591" s="1"/>
      <c r="E591" s="33"/>
      <c r="F591" s="34"/>
      <c r="G591" s="5"/>
      <c r="H591" s="5"/>
      <c r="I591" s="5"/>
      <c r="J591" s="5"/>
      <c r="K591" s="5"/>
      <c r="L591" s="5"/>
      <c r="M591" s="32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/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5"/>
      <c r="CB591" s="5"/>
      <c r="CC591" s="5"/>
      <c r="CD591" s="5"/>
      <c r="CE591" s="5"/>
      <c r="CF591" s="5"/>
      <c r="CG591" s="5"/>
      <c r="CH591" s="5"/>
      <c r="CI591" s="5"/>
    </row>
    <row r="592" ht="14.25" customHeight="1">
      <c r="B592" s="1"/>
      <c r="D592" s="1"/>
      <c r="E592" s="33"/>
      <c r="F592" s="34"/>
      <c r="G592" s="5"/>
      <c r="H592" s="5"/>
      <c r="I592" s="5"/>
      <c r="J592" s="5"/>
      <c r="K592" s="5"/>
      <c r="L592" s="5"/>
      <c r="M592" s="32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/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5"/>
      <c r="CB592" s="5"/>
      <c r="CC592" s="5"/>
      <c r="CD592" s="5"/>
      <c r="CE592" s="5"/>
      <c r="CF592" s="5"/>
      <c r="CG592" s="5"/>
      <c r="CH592" s="5"/>
      <c r="CI592" s="5"/>
    </row>
    <row r="593" ht="14.25" customHeight="1">
      <c r="B593" s="1"/>
      <c r="D593" s="1"/>
      <c r="E593" s="33"/>
      <c r="F593" s="34"/>
      <c r="G593" s="5"/>
      <c r="H593" s="5"/>
      <c r="I593" s="5"/>
      <c r="J593" s="5"/>
      <c r="K593" s="5"/>
      <c r="L593" s="5"/>
      <c r="M593" s="32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5"/>
      <c r="CB593" s="5"/>
      <c r="CC593" s="5"/>
      <c r="CD593" s="5"/>
      <c r="CE593" s="5"/>
      <c r="CF593" s="5"/>
      <c r="CG593" s="5"/>
      <c r="CH593" s="5"/>
      <c r="CI593" s="5"/>
    </row>
    <row r="594" ht="14.25" customHeight="1">
      <c r="B594" s="1"/>
      <c r="D594" s="1"/>
      <c r="E594" s="33"/>
      <c r="F594" s="34"/>
      <c r="G594" s="5"/>
      <c r="H594" s="5"/>
      <c r="I594" s="5"/>
      <c r="J594" s="5"/>
      <c r="K594" s="5"/>
      <c r="L594" s="5"/>
      <c r="M594" s="32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/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5"/>
      <c r="CB594" s="5"/>
      <c r="CC594" s="5"/>
      <c r="CD594" s="5"/>
      <c r="CE594" s="5"/>
      <c r="CF594" s="5"/>
      <c r="CG594" s="5"/>
      <c r="CH594" s="5"/>
      <c r="CI594" s="5"/>
    </row>
    <row r="595" ht="14.25" customHeight="1">
      <c r="B595" s="1"/>
      <c r="D595" s="1"/>
      <c r="E595" s="33"/>
      <c r="F595" s="34"/>
      <c r="G595" s="5"/>
      <c r="H595" s="5"/>
      <c r="I595" s="5"/>
      <c r="J595" s="5"/>
      <c r="K595" s="5"/>
      <c r="L595" s="5"/>
      <c r="M595" s="32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/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5"/>
      <c r="CB595" s="5"/>
      <c r="CC595" s="5"/>
      <c r="CD595" s="5"/>
      <c r="CE595" s="5"/>
      <c r="CF595" s="5"/>
      <c r="CG595" s="5"/>
      <c r="CH595" s="5"/>
      <c r="CI595" s="5"/>
    </row>
    <row r="596" ht="14.25" customHeight="1">
      <c r="B596" s="1"/>
      <c r="D596" s="1"/>
      <c r="E596" s="33"/>
      <c r="F596" s="34"/>
      <c r="G596" s="5"/>
      <c r="H596" s="5"/>
      <c r="I596" s="5"/>
      <c r="J596" s="5"/>
      <c r="K596" s="5"/>
      <c r="L596" s="5"/>
      <c r="M596" s="32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/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5"/>
      <c r="CB596" s="5"/>
      <c r="CC596" s="5"/>
      <c r="CD596" s="5"/>
      <c r="CE596" s="5"/>
      <c r="CF596" s="5"/>
      <c r="CG596" s="5"/>
      <c r="CH596" s="5"/>
      <c r="CI596" s="5"/>
    </row>
    <row r="597" ht="14.25" customHeight="1">
      <c r="B597" s="1"/>
      <c r="D597" s="1"/>
      <c r="E597" s="33"/>
      <c r="F597" s="34"/>
      <c r="G597" s="5"/>
      <c r="H597" s="5"/>
      <c r="I597" s="5"/>
      <c r="J597" s="5"/>
      <c r="K597" s="5"/>
      <c r="L597" s="5"/>
      <c r="M597" s="32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/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5"/>
      <c r="CB597" s="5"/>
      <c r="CC597" s="5"/>
      <c r="CD597" s="5"/>
      <c r="CE597" s="5"/>
      <c r="CF597" s="5"/>
      <c r="CG597" s="5"/>
      <c r="CH597" s="5"/>
      <c r="CI597" s="5"/>
    </row>
    <row r="598" ht="14.25" customHeight="1">
      <c r="B598" s="1"/>
      <c r="D598" s="1"/>
      <c r="E598" s="33"/>
      <c r="F598" s="34"/>
      <c r="G598" s="5"/>
      <c r="H598" s="5"/>
      <c r="I598" s="5"/>
      <c r="J598" s="5"/>
      <c r="K598" s="5"/>
      <c r="L598" s="5"/>
      <c r="M598" s="32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5"/>
      <c r="CB598" s="5"/>
      <c r="CC598" s="5"/>
      <c r="CD598" s="5"/>
      <c r="CE598" s="5"/>
      <c r="CF598" s="5"/>
      <c r="CG598" s="5"/>
      <c r="CH598" s="5"/>
      <c r="CI598" s="5"/>
    </row>
    <row r="599" ht="14.25" customHeight="1">
      <c r="B599" s="1"/>
      <c r="D599" s="1"/>
      <c r="E599" s="33"/>
      <c r="F599" s="34"/>
      <c r="G599" s="5"/>
      <c r="H599" s="5"/>
      <c r="I599" s="5"/>
      <c r="J599" s="5"/>
      <c r="K599" s="5"/>
      <c r="L599" s="5"/>
      <c r="M599" s="32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/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5"/>
      <c r="CB599" s="5"/>
      <c r="CC599" s="5"/>
      <c r="CD599" s="5"/>
      <c r="CE599" s="5"/>
      <c r="CF599" s="5"/>
      <c r="CG599" s="5"/>
      <c r="CH599" s="5"/>
      <c r="CI599" s="5"/>
    </row>
    <row r="600" ht="14.25" customHeight="1">
      <c r="B600" s="1"/>
      <c r="D600" s="1"/>
      <c r="E600" s="33"/>
      <c r="F600" s="34"/>
      <c r="G600" s="5"/>
      <c r="H600" s="5"/>
      <c r="I600" s="5"/>
      <c r="J600" s="5"/>
      <c r="K600" s="5"/>
      <c r="L600" s="5"/>
      <c r="M600" s="32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/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5"/>
      <c r="CB600" s="5"/>
      <c r="CC600" s="5"/>
      <c r="CD600" s="5"/>
      <c r="CE600" s="5"/>
      <c r="CF600" s="5"/>
      <c r="CG600" s="5"/>
      <c r="CH600" s="5"/>
      <c r="CI600" s="5"/>
    </row>
    <row r="601" ht="14.25" customHeight="1">
      <c r="B601" s="1"/>
      <c r="D601" s="1"/>
      <c r="E601" s="33"/>
      <c r="F601" s="34"/>
      <c r="G601" s="5"/>
      <c r="H601" s="5"/>
      <c r="I601" s="5"/>
      <c r="J601" s="5"/>
      <c r="K601" s="5"/>
      <c r="L601" s="5"/>
      <c r="M601" s="32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5"/>
      <c r="CB601" s="5"/>
      <c r="CC601" s="5"/>
      <c r="CD601" s="5"/>
      <c r="CE601" s="5"/>
      <c r="CF601" s="5"/>
      <c r="CG601" s="5"/>
      <c r="CH601" s="5"/>
      <c r="CI601" s="5"/>
    </row>
    <row r="602" ht="14.25" customHeight="1">
      <c r="B602" s="1"/>
      <c r="D602" s="1"/>
      <c r="E602" s="33"/>
      <c r="F602" s="34"/>
      <c r="G602" s="5"/>
      <c r="H602" s="5"/>
      <c r="I602" s="5"/>
      <c r="J602" s="5"/>
      <c r="K602" s="5"/>
      <c r="L602" s="5"/>
      <c r="M602" s="32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5"/>
      <c r="CB602" s="5"/>
      <c r="CC602" s="5"/>
      <c r="CD602" s="5"/>
      <c r="CE602" s="5"/>
      <c r="CF602" s="5"/>
      <c r="CG602" s="5"/>
      <c r="CH602" s="5"/>
      <c r="CI602" s="5"/>
    </row>
    <row r="603" ht="14.25" customHeight="1">
      <c r="B603" s="1"/>
      <c r="D603" s="1"/>
      <c r="E603" s="33"/>
      <c r="F603" s="34"/>
      <c r="G603" s="5"/>
      <c r="H603" s="5"/>
      <c r="I603" s="5"/>
      <c r="J603" s="5"/>
      <c r="K603" s="5"/>
      <c r="L603" s="5"/>
      <c r="M603" s="32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5"/>
      <c r="CB603" s="5"/>
      <c r="CC603" s="5"/>
      <c r="CD603" s="5"/>
      <c r="CE603" s="5"/>
      <c r="CF603" s="5"/>
      <c r="CG603" s="5"/>
      <c r="CH603" s="5"/>
      <c r="CI603" s="5"/>
    </row>
    <row r="604" ht="14.25" customHeight="1">
      <c r="B604" s="1"/>
      <c r="D604" s="1"/>
      <c r="E604" s="33"/>
      <c r="F604" s="34"/>
      <c r="G604" s="5"/>
      <c r="H604" s="5"/>
      <c r="I604" s="5"/>
      <c r="J604" s="5"/>
      <c r="K604" s="5"/>
      <c r="L604" s="5"/>
      <c r="M604" s="32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/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5"/>
      <c r="CB604" s="5"/>
      <c r="CC604" s="5"/>
      <c r="CD604" s="5"/>
      <c r="CE604" s="5"/>
      <c r="CF604" s="5"/>
      <c r="CG604" s="5"/>
      <c r="CH604" s="5"/>
      <c r="CI604" s="5"/>
    </row>
    <row r="605" ht="14.25" customHeight="1">
      <c r="B605" s="1"/>
      <c r="D605" s="1"/>
      <c r="E605" s="33"/>
      <c r="F605" s="34"/>
      <c r="G605" s="5"/>
      <c r="H605" s="5"/>
      <c r="I605" s="5"/>
      <c r="J605" s="5"/>
      <c r="K605" s="5"/>
      <c r="L605" s="5"/>
      <c r="M605" s="32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/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5"/>
      <c r="CB605" s="5"/>
      <c r="CC605" s="5"/>
      <c r="CD605" s="5"/>
      <c r="CE605" s="5"/>
      <c r="CF605" s="5"/>
      <c r="CG605" s="5"/>
      <c r="CH605" s="5"/>
      <c r="CI605" s="5"/>
    </row>
    <row r="606" ht="14.25" customHeight="1">
      <c r="B606" s="1"/>
      <c r="D606" s="1"/>
      <c r="E606" s="33"/>
      <c r="F606" s="34"/>
      <c r="G606" s="5"/>
      <c r="H606" s="5"/>
      <c r="I606" s="5"/>
      <c r="J606" s="5"/>
      <c r="K606" s="5"/>
      <c r="L606" s="5"/>
      <c r="M606" s="32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/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5"/>
      <c r="CB606" s="5"/>
      <c r="CC606" s="5"/>
      <c r="CD606" s="5"/>
      <c r="CE606" s="5"/>
      <c r="CF606" s="5"/>
      <c r="CG606" s="5"/>
      <c r="CH606" s="5"/>
      <c r="CI606" s="5"/>
    </row>
    <row r="607" ht="14.25" customHeight="1">
      <c r="B607" s="1"/>
      <c r="D607" s="1"/>
      <c r="E607" s="33"/>
      <c r="F607" s="34"/>
      <c r="G607" s="5"/>
      <c r="H607" s="5"/>
      <c r="I607" s="5"/>
      <c r="J607" s="5"/>
      <c r="K607" s="5"/>
      <c r="L607" s="5"/>
      <c r="M607" s="32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/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5"/>
      <c r="CB607" s="5"/>
      <c r="CC607" s="5"/>
      <c r="CD607" s="5"/>
      <c r="CE607" s="5"/>
      <c r="CF607" s="5"/>
      <c r="CG607" s="5"/>
      <c r="CH607" s="5"/>
      <c r="CI607" s="5"/>
    </row>
    <row r="608" ht="14.25" customHeight="1">
      <c r="B608" s="1"/>
      <c r="D608" s="1"/>
      <c r="E608" s="33"/>
      <c r="F608" s="34"/>
      <c r="G608" s="5"/>
      <c r="H608" s="5"/>
      <c r="I608" s="5"/>
      <c r="J608" s="5"/>
      <c r="K608" s="5"/>
      <c r="L608" s="5"/>
      <c r="M608" s="32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/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5"/>
      <c r="CB608" s="5"/>
      <c r="CC608" s="5"/>
      <c r="CD608" s="5"/>
      <c r="CE608" s="5"/>
      <c r="CF608" s="5"/>
      <c r="CG608" s="5"/>
      <c r="CH608" s="5"/>
      <c r="CI608" s="5"/>
    </row>
    <row r="609" ht="14.25" customHeight="1">
      <c r="B609" s="1"/>
      <c r="D609" s="1"/>
      <c r="E609" s="33"/>
      <c r="F609" s="34"/>
      <c r="G609" s="5"/>
      <c r="H609" s="5"/>
      <c r="I609" s="5"/>
      <c r="J609" s="5"/>
      <c r="K609" s="5"/>
      <c r="L609" s="5"/>
      <c r="M609" s="32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/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5"/>
      <c r="CB609" s="5"/>
      <c r="CC609" s="5"/>
      <c r="CD609" s="5"/>
      <c r="CE609" s="5"/>
      <c r="CF609" s="5"/>
      <c r="CG609" s="5"/>
      <c r="CH609" s="5"/>
      <c r="CI609" s="5"/>
    </row>
    <row r="610" ht="14.25" customHeight="1">
      <c r="B610" s="1"/>
      <c r="D610" s="1"/>
      <c r="E610" s="33"/>
      <c r="F610" s="34"/>
      <c r="G610" s="5"/>
      <c r="H610" s="5"/>
      <c r="I610" s="5"/>
      <c r="J610" s="5"/>
      <c r="K610" s="5"/>
      <c r="L610" s="5"/>
      <c r="M610" s="32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/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5"/>
      <c r="CB610" s="5"/>
      <c r="CC610" s="5"/>
      <c r="CD610" s="5"/>
      <c r="CE610" s="5"/>
      <c r="CF610" s="5"/>
      <c r="CG610" s="5"/>
      <c r="CH610" s="5"/>
      <c r="CI610" s="5"/>
    </row>
    <row r="611" ht="14.25" customHeight="1">
      <c r="B611" s="1"/>
      <c r="D611" s="1"/>
      <c r="E611" s="33"/>
      <c r="F611" s="34"/>
      <c r="G611" s="5"/>
      <c r="H611" s="5"/>
      <c r="I611" s="5"/>
      <c r="J611" s="5"/>
      <c r="K611" s="5"/>
      <c r="L611" s="5"/>
      <c r="M611" s="32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/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5"/>
      <c r="CB611" s="5"/>
      <c r="CC611" s="5"/>
      <c r="CD611" s="5"/>
      <c r="CE611" s="5"/>
      <c r="CF611" s="5"/>
      <c r="CG611" s="5"/>
      <c r="CH611" s="5"/>
      <c r="CI611" s="5"/>
    </row>
    <row r="612" ht="14.25" customHeight="1">
      <c r="B612" s="1"/>
      <c r="D612" s="1"/>
      <c r="E612" s="33"/>
      <c r="F612" s="34"/>
      <c r="G612" s="5"/>
      <c r="H612" s="5"/>
      <c r="I612" s="5"/>
      <c r="J612" s="5"/>
      <c r="K612" s="5"/>
      <c r="L612" s="5"/>
      <c r="M612" s="32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/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5"/>
      <c r="CB612" s="5"/>
      <c r="CC612" s="5"/>
      <c r="CD612" s="5"/>
      <c r="CE612" s="5"/>
      <c r="CF612" s="5"/>
      <c r="CG612" s="5"/>
      <c r="CH612" s="5"/>
      <c r="CI612" s="5"/>
    </row>
    <row r="613" ht="14.25" customHeight="1">
      <c r="B613" s="1"/>
      <c r="D613" s="1"/>
      <c r="E613" s="33"/>
      <c r="F613" s="34"/>
      <c r="G613" s="5"/>
      <c r="H613" s="5"/>
      <c r="I613" s="5"/>
      <c r="J613" s="5"/>
      <c r="K613" s="5"/>
      <c r="L613" s="5"/>
      <c r="M613" s="32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5"/>
      <c r="CB613" s="5"/>
      <c r="CC613" s="5"/>
      <c r="CD613" s="5"/>
      <c r="CE613" s="5"/>
      <c r="CF613" s="5"/>
      <c r="CG613" s="5"/>
      <c r="CH613" s="5"/>
      <c r="CI613" s="5"/>
    </row>
    <row r="614" ht="14.25" customHeight="1">
      <c r="B614" s="1"/>
      <c r="D614" s="1"/>
      <c r="E614" s="33"/>
      <c r="F614" s="34"/>
      <c r="G614" s="5"/>
      <c r="H614" s="5"/>
      <c r="I614" s="5"/>
      <c r="J614" s="5"/>
      <c r="K614" s="5"/>
      <c r="L614" s="5"/>
      <c r="M614" s="32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5"/>
      <c r="CB614" s="5"/>
      <c r="CC614" s="5"/>
      <c r="CD614" s="5"/>
      <c r="CE614" s="5"/>
      <c r="CF614" s="5"/>
      <c r="CG614" s="5"/>
      <c r="CH614" s="5"/>
      <c r="CI614" s="5"/>
    </row>
    <row r="615" ht="14.25" customHeight="1">
      <c r="B615" s="1"/>
      <c r="D615" s="1"/>
      <c r="E615" s="33"/>
      <c r="F615" s="34"/>
      <c r="G615" s="5"/>
      <c r="H615" s="5"/>
      <c r="I615" s="5"/>
      <c r="J615" s="5"/>
      <c r="K615" s="5"/>
      <c r="L615" s="5"/>
      <c r="M615" s="32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/>
      <c r="BS615" s="5"/>
      <c r="BT615" s="5"/>
      <c r="BU615" s="5"/>
      <c r="BV615" s="5"/>
      <c r="BW615" s="5"/>
      <c r="BX615" s="5"/>
      <c r="BY615" s="5"/>
      <c r="BZ615" s="5"/>
      <c r="CA615" s="5"/>
      <c r="CB615" s="5"/>
      <c r="CC615" s="5"/>
      <c r="CD615" s="5"/>
      <c r="CE615" s="5"/>
      <c r="CF615" s="5"/>
      <c r="CG615" s="5"/>
      <c r="CH615" s="5"/>
      <c r="CI615" s="5"/>
    </row>
    <row r="616" ht="14.25" customHeight="1">
      <c r="B616" s="1"/>
      <c r="D616" s="1"/>
      <c r="E616" s="33"/>
      <c r="F616" s="34"/>
      <c r="G616" s="5"/>
      <c r="H616" s="5"/>
      <c r="I616" s="5"/>
      <c r="J616" s="5"/>
      <c r="K616" s="5"/>
      <c r="L616" s="5"/>
      <c r="M616" s="32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/>
      <c r="BS616" s="5"/>
      <c r="BT616" s="5"/>
      <c r="BU616" s="5"/>
      <c r="BV616" s="5"/>
      <c r="BW616" s="5"/>
      <c r="BX616" s="5"/>
      <c r="BY616" s="5"/>
      <c r="BZ616" s="5"/>
      <c r="CA616" s="5"/>
      <c r="CB616" s="5"/>
      <c r="CC616" s="5"/>
      <c r="CD616" s="5"/>
      <c r="CE616" s="5"/>
      <c r="CF616" s="5"/>
      <c r="CG616" s="5"/>
      <c r="CH616" s="5"/>
      <c r="CI616" s="5"/>
    </row>
    <row r="617" ht="14.25" customHeight="1">
      <c r="B617" s="1"/>
      <c r="D617" s="1"/>
      <c r="E617" s="33"/>
      <c r="F617" s="34"/>
      <c r="G617" s="5"/>
      <c r="H617" s="5"/>
      <c r="I617" s="5"/>
      <c r="J617" s="5"/>
      <c r="K617" s="5"/>
      <c r="L617" s="5"/>
      <c r="M617" s="32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/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/>
      <c r="BS617" s="5"/>
      <c r="BT617" s="5"/>
      <c r="BU617" s="5"/>
      <c r="BV617" s="5"/>
      <c r="BW617" s="5"/>
      <c r="BX617" s="5"/>
      <c r="BY617" s="5"/>
      <c r="BZ617" s="5"/>
      <c r="CA617" s="5"/>
      <c r="CB617" s="5"/>
      <c r="CC617" s="5"/>
      <c r="CD617" s="5"/>
      <c r="CE617" s="5"/>
      <c r="CF617" s="5"/>
      <c r="CG617" s="5"/>
      <c r="CH617" s="5"/>
      <c r="CI617" s="5"/>
    </row>
    <row r="618" ht="14.25" customHeight="1">
      <c r="B618" s="1"/>
      <c r="D618" s="1"/>
      <c r="E618" s="33"/>
      <c r="F618" s="34"/>
      <c r="G618" s="5"/>
      <c r="H618" s="5"/>
      <c r="I618" s="5"/>
      <c r="J618" s="5"/>
      <c r="K618" s="5"/>
      <c r="L618" s="5"/>
      <c r="M618" s="32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/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/>
      <c r="BS618" s="5"/>
      <c r="BT618" s="5"/>
      <c r="BU618" s="5"/>
      <c r="BV618" s="5"/>
      <c r="BW618" s="5"/>
      <c r="BX618" s="5"/>
      <c r="BY618" s="5"/>
      <c r="BZ618" s="5"/>
      <c r="CA618" s="5"/>
      <c r="CB618" s="5"/>
      <c r="CC618" s="5"/>
      <c r="CD618" s="5"/>
      <c r="CE618" s="5"/>
      <c r="CF618" s="5"/>
      <c r="CG618" s="5"/>
      <c r="CH618" s="5"/>
      <c r="CI618" s="5"/>
    </row>
    <row r="619" ht="14.25" customHeight="1">
      <c r="B619" s="1"/>
      <c r="D619" s="1"/>
      <c r="E619" s="33"/>
      <c r="F619" s="34"/>
      <c r="G619" s="5"/>
      <c r="H619" s="5"/>
      <c r="I619" s="5"/>
      <c r="J619" s="5"/>
      <c r="K619" s="5"/>
      <c r="L619" s="5"/>
      <c r="M619" s="32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/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/>
      <c r="BS619" s="5"/>
      <c r="BT619" s="5"/>
      <c r="BU619" s="5"/>
      <c r="BV619" s="5"/>
      <c r="BW619" s="5"/>
      <c r="BX619" s="5"/>
      <c r="BY619" s="5"/>
      <c r="BZ619" s="5"/>
      <c r="CA619" s="5"/>
      <c r="CB619" s="5"/>
      <c r="CC619" s="5"/>
      <c r="CD619" s="5"/>
      <c r="CE619" s="5"/>
      <c r="CF619" s="5"/>
      <c r="CG619" s="5"/>
      <c r="CH619" s="5"/>
      <c r="CI619" s="5"/>
    </row>
    <row r="620" ht="14.25" customHeight="1">
      <c r="B620" s="1"/>
      <c r="D620" s="1"/>
      <c r="E620" s="33"/>
      <c r="F620" s="34"/>
      <c r="G620" s="5"/>
      <c r="H620" s="5"/>
      <c r="I620" s="5"/>
      <c r="J620" s="5"/>
      <c r="K620" s="5"/>
      <c r="L620" s="5"/>
      <c r="M620" s="32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/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/>
      <c r="BS620" s="5"/>
      <c r="BT620" s="5"/>
      <c r="BU620" s="5"/>
      <c r="BV620" s="5"/>
      <c r="BW620" s="5"/>
      <c r="BX620" s="5"/>
      <c r="BY620" s="5"/>
      <c r="BZ620" s="5"/>
      <c r="CA620" s="5"/>
      <c r="CB620" s="5"/>
      <c r="CC620" s="5"/>
      <c r="CD620" s="5"/>
      <c r="CE620" s="5"/>
      <c r="CF620" s="5"/>
      <c r="CG620" s="5"/>
      <c r="CH620" s="5"/>
      <c r="CI620" s="5"/>
    </row>
    <row r="621" ht="14.25" customHeight="1">
      <c r="B621" s="1"/>
      <c r="D621" s="1"/>
      <c r="E621" s="33"/>
      <c r="F621" s="34"/>
      <c r="G621" s="5"/>
      <c r="H621" s="5"/>
      <c r="I621" s="5"/>
      <c r="J621" s="5"/>
      <c r="K621" s="5"/>
      <c r="L621" s="5"/>
      <c r="M621" s="32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/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/>
      <c r="BS621" s="5"/>
      <c r="BT621" s="5"/>
      <c r="BU621" s="5"/>
      <c r="BV621" s="5"/>
      <c r="BW621" s="5"/>
      <c r="BX621" s="5"/>
      <c r="BY621" s="5"/>
      <c r="BZ621" s="5"/>
      <c r="CA621" s="5"/>
      <c r="CB621" s="5"/>
      <c r="CC621" s="5"/>
      <c r="CD621" s="5"/>
      <c r="CE621" s="5"/>
      <c r="CF621" s="5"/>
      <c r="CG621" s="5"/>
      <c r="CH621" s="5"/>
      <c r="CI621" s="5"/>
    </row>
    <row r="622" ht="14.25" customHeight="1">
      <c r="B622" s="1"/>
      <c r="D622" s="1"/>
      <c r="E622" s="33"/>
      <c r="F622" s="34"/>
      <c r="G622" s="5"/>
      <c r="H622" s="5"/>
      <c r="I622" s="5"/>
      <c r="J622" s="5"/>
      <c r="K622" s="5"/>
      <c r="L622" s="5"/>
      <c r="M622" s="32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/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/>
      <c r="BS622" s="5"/>
      <c r="BT622" s="5"/>
      <c r="BU622" s="5"/>
      <c r="BV622" s="5"/>
      <c r="BW622" s="5"/>
      <c r="BX622" s="5"/>
      <c r="BY622" s="5"/>
      <c r="BZ622" s="5"/>
      <c r="CA622" s="5"/>
      <c r="CB622" s="5"/>
      <c r="CC622" s="5"/>
      <c r="CD622" s="5"/>
      <c r="CE622" s="5"/>
      <c r="CF622" s="5"/>
      <c r="CG622" s="5"/>
      <c r="CH622" s="5"/>
      <c r="CI622" s="5"/>
    </row>
    <row r="623" ht="14.25" customHeight="1">
      <c r="B623" s="1"/>
      <c r="D623" s="1"/>
      <c r="E623" s="33"/>
      <c r="F623" s="34"/>
      <c r="G623" s="5"/>
      <c r="H623" s="5"/>
      <c r="I623" s="5"/>
      <c r="J623" s="5"/>
      <c r="K623" s="5"/>
      <c r="L623" s="5"/>
      <c r="M623" s="32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 s="5"/>
      <c r="AY623" s="5"/>
      <c r="AZ623" s="5"/>
      <c r="BA623" s="5"/>
      <c r="BB623" s="5"/>
      <c r="BC623" s="5"/>
      <c r="BD623" s="5"/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/>
      <c r="BS623" s="5"/>
      <c r="BT623" s="5"/>
      <c r="BU623" s="5"/>
      <c r="BV623" s="5"/>
      <c r="BW623" s="5"/>
      <c r="BX623" s="5"/>
      <c r="BY623" s="5"/>
      <c r="BZ623" s="5"/>
      <c r="CA623" s="5"/>
      <c r="CB623" s="5"/>
      <c r="CC623" s="5"/>
      <c r="CD623" s="5"/>
      <c r="CE623" s="5"/>
      <c r="CF623" s="5"/>
      <c r="CG623" s="5"/>
      <c r="CH623" s="5"/>
      <c r="CI623" s="5"/>
    </row>
    <row r="624" ht="14.25" customHeight="1">
      <c r="B624" s="1"/>
      <c r="D624" s="1"/>
      <c r="E624" s="33"/>
      <c r="F624" s="34"/>
      <c r="G624" s="5"/>
      <c r="H624" s="5"/>
      <c r="I624" s="5"/>
      <c r="J624" s="5"/>
      <c r="K624" s="5"/>
      <c r="L624" s="5"/>
      <c r="M624" s="32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 s="5"/>
      <c r="AY624" s="5"/>
      <c r="AZ624" s="5"/>
      <c r="BA624" s="5"/>
      <c r="BB624" s="5"/>
      <c r="BC624" s="5"/>
      <c r="BD624" s="5"/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/>
      <c r="BS624" s="5"/>
      <c r="BT624" s="5"/>
      <c r="BU624" s="5"/>
      <c r="BV624" s="5"/>
      <c r="BW624" s="5"/>
      <c r="BX624" s="5"/>
      <c r="BY624" s="5"/>
      <c r="BZ624" s="5"/>
      <c r="CA624" s="5"/>
      <c r="CB624" s="5"/>
      <c r="CC624" s="5"/>
      <c r="CD624" s="5"/>
      <c r="CE624" s="5"/>
      <c r="CF624" s="5"/>
      <c r="CG624" s="5"/>
      <c r="CH624" s="5"/>
      <c r="CI624" s="5"/>
    </row>
    <row r="625" ht="14.25" customHeight="1">
      <c r="B625" s="1"/>
      <c r="D625" s="1"/>
      <c r="E625" s="33"/>
      <c r="F625" s="34"/>
      <c r="G625" s="5"/>
      <c r="H625" s="5"/>
      <c r="I625" s="5"/>
      <c r="J625" s="5"/>
      <c r="K625" s="5"/>
      <c r="L625" s="5"/>
      <c r="M625" s="32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 s="5"/>
      <c r="AY625" s="5"/>
      <c r="AZ625" s="5"/>
      <c r="BA625" s="5"/>
      <c r="BB625" s="5"/>
      <c r="BC625" s="5"/>
      <c r="BD625" s="5"/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/>
      <c r="BS625" s="5"/>
      <c r="BT625" s="5"/>
      <c r="BU625" s="5"/>
      <c r="BV625" s="5"/>
      <c r="BW625" s="5"/>
      <c r="BX625" s="5"/>
      <c r="BY625" s="5"/>
      <c r="BZ625" s="5"/>
      <c r="CA625" s="5"/>
      <c r="CB625" s="5"/>
      <c r="CC625" s="5"/>
      <c r="CD625" s="5"/>
      <c r="CE625" s="5"/>
      <c r="CF625" s="5"/>
      <c r="CG625" s="5"/>
      <c r="CH625" s="5"/>
      <c r="CI625" s="5"/>
    </row>
    <row r="626" ht="14.25" customHeight="1">
      <c r="B626" s="1"/>
      <c r="D626" s="1"/>
      <c r="E626" s="33"/>
      <c r="F626" s="34"/>
      <c r="G626" s="5"/>
      <c r="H626" s="5"/>
      <c r="I626" s="5"/>
      <c r="J626" s="5"/>
      <c r="K626" s="5"/>
      <c r="L626" s="5"/>
      <c r="M626" s="32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 s="5"/>
      <c r="AY626" s="5"/>
      <c r="AZ626" s="5"/>
      <c r="BA626" s="5"/>
      <c r="BB626" s="5"/>
      <c r="BC626" s="5"/>
      <c r="BD626" s="5"/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/>
      <c r="BS626" s="5"/>
      <c r="BT626" s="5"/>
      <c r="BU626" s="5"/>
      <c r="BV626" s="5"/>
      <c r="BW626" s="5"/>
      <c r="BX626" s="5"/>
      <c r="BY626" s="5"/>
      <c r="BZ626" s="5"/>
      <c r="CA626" s="5"/>
      <c r="CB626" s="5"/>
      <c r="CC626" s="5"/>
      <c r="CD626" s="5"/>
      <c r="CE626" s="5"/>
      <c r="CF626" s="5"/>
      <c r="CG626" s="5"/>
      <c r="CH626" s="5"/>
      <c r="CI626" s="5"/>
    </row>
    <row r="627" ht="14.25" customHeight="1">
      <c r="B627" s="1"/>
      <c r="D627" s="1"/>
      <c r="E627" s="33"/>
      <c r="F627" s="34"/>
      <c r="G627" s="5"/>
      <c r="H627" s="5"/>
      <c r="I627" s="5"/>
      <c r="J627" s="5"/>
      <c r="K627" s="5"/>
      <c r="L627" s="5"/>
      <c r="M627" s="32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 s="5"/>
      <c r="AY627" s="5"/>
      <c r="AZ627" s="5"/>
      <c r="BA627" s="5"/>
      <c r="BB627" s="5"/>
      <c r="BC627" s="5"/>
      <c r="BD627" s="5"/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/>
      <c r="BS627" s="5"/>
      <c r="BT627" s="5"/>
      <c r="BU627" s="5"/>
      <c r="BV627" s="5"/>
      <c r="BW627" s="5"/>
      <c r="BX627" s="5"/>
      <c r="BY627" s="5"/>
      <c r="BZ627" s="5"/>
      <c r="CA627" s="5"/>
      <c r="CB627" s="5"/>
      <c r="CC627" s="5"/>
      <c r="CD627" s="5"/>
      <c r="CE627" s="5"/>
      <c r="CF627" s="5"/>
      <c r="CG627" s="5"/>
      <c r="CH627" s="5"/>
      <c r="CI627" s="5"/>
    </row>
    <row r="628" ht="14.25" customHeight="1">
      <c r="B628" s="1"/>
      <c r="D628" s="1"/>
      <c r="E628" s="33"/>
      <c r="F628" s="34"/>
      <c r="G628" s="5"/>
      <c r="H628" s="5"/>
      <c r="I628" s="5"/>
      <c r="J628" s="5"/>
      <c r="K628" s="5"/>
      <c r="L628" s="5"/>
      <c r="M628" s="32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 s="5"/>
      <c r="AY628" s="5"/>
      <c r="AZ628" s="5"/>
      <c r="BA628" s="5"/>
      <c r="BB628" s="5"/>
      <c r="BC628" s="5"/>
      <c r="BD628" s="5"/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/>
      <c r="BS628" s="5"/>
      <c r="BT628" s="5"/>
      <c r="BU628" s="5"/>
      <c r="BV628" s="5"/>
      <c r="BW628" s="5"/>
      <c r="BX628" s="5"/>
      <c r="BY628" s="5"/>
      <c r="BZ628" s="5"/>
      <c r="CA628" s="5"/>
      <c r="CB628" s="5"/>
      <c r="CC628" s="5"/>
      <c r="CD628" s="5"/>
      <c r="CE628" s="5"/>
      <c r="CF628" s="5"/>
      <c r="CG628" s="5"/>
      <c r="CH628" s="5"/>
      <c r="CI628" s="5"/>
    </row>
    <row r="629" ht="14.25" customHeight="1">
      <c r="B629" s="1"/>
      <c r="D629" s="1"/>
      <c r="E629" s="33"/>
      <c r="F629" s="34"/>
      <c r="G629" s="5"/>
      <c r="H629" s="5"/>
      <c r="I629" s="5"/>
      <c r="J629" s="5"/>
      <c r="K629" s="5"/>
      <c r="L629" s="5"/>
      <c r="M629" s="32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 s="5"/>
      <c r="AY629" s="5"/>
      <c r="AZ629" s="5"/>
      <c r="BA629" s="5"/>
      <c r="BB629" s="5"/>
      <c r="BC629" s="5"/>
      <c r="BD629" s="5"/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/>
      <c r="BS629" s="5"/>
      <c r="BT629" s="5"/>
      <c r="BU629" s="5"/>
      <c r="BV629" s="5"/>
      <c r="BW629" s="5"/>
      <c r="BX629" s="5"/>
      <c r="BY629" s="5"/>
      <c r="BZ629" s="5"/>
      <c r="CA629" s="5"/>
      <c r="CB629" s="5"/>
      <c r="CC629" s="5"/>
      <c r="CD629" s="5"/>
      <c r="CE629" s="5"/>
      <c r="CF629" s="5"/>
      <c r="CG629" s="5"/>
      <c r="CH629" s="5"/>
      <c r="CI629" s="5"/>
    </row>
    <row r="630" ht="14.25" customHeight="1">
      <c r="B630" s="1"/>
      <c r="D630" s="1"/>
      <c r="E630" s="33"/>
      <c r="F630" s="34"/>
      <c r="G630" s="5"/>
      <c r="H630" s="5"/>
      <c r="I630" s="5"/>
      <c r="J630" s="5"/>
      <c r="K630" s="5"/>
      <c r="L630" s="5"/>
      <c r="M630" s="32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 s="5"/>
      <c r="AY630" s="5"/>
      <c r="AZ630" s="5"/>
      <c r="BA630" s="5"/>
      <c r="BB630" s="5"/>
      <c r="BC630" s="5"/>
      <c r="BD630" s="5"/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/>
      <c r="BS630" s="5"/>
      <c r="BT630" s="5"/>
      <c r="BU630" s="5"/>
      <c r="BV630" s="5"/>
      <c r="BW630" s="5"/>
      <c r="BX630" s="5"/>
      <c r="BY630" s="5"/>
      <c r="BZ630" s="5"/>
      <c r="CA630" s="5"/>
      <c r="CB630" s="5"/>
      <c r="CC630" s="5"/>
      <c r="CD630" s="5"/>
      <c r="CE630" s="5"/>
      <c r="CF630" s="5"/>
      <c r="CG630" s="5"/>
      <c r="CH630" s="5"/>
      <c r="CI630" s="5"/>
    </row>
    <row r="631" ht="14.25" customHeight="1">
      <c r="B631" s="1"/>
      <c r="D631" s="1"/>
      <c r="E631" s="33"/>
      <c r="F631" s="34"/>
      <c r="G631" s="5"/>
      <c r="H631" s="5"/>
      <c r="I631" s="5"/>
      <c r="J631" s="5"/>
      <c r="K631" s="5"/>
      <c r="L631" s="5"/>
      <c r="M631" s="32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 s="5"/>
      <c r="AY631" s="5"/>
      <c r="AZ631" s="5"/>
      <c r="BA631" s="5"/>
      <c r="BB631" s="5"/>
      <c r="BC631" s="5"/>
      <c r="BD631" s="5"/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/>
      <c r="BS631" s="5"/>
      <c r="BT631" s="5"/>
      <c r="BU631" s="5"/>
      <c r="BV631" s="5"/>
      <c r="BW631" s="5"/>
      <c r="BX631" s="5"/>
      <c r="BY631" s="5"/>
      <c r="BZ631" s="5"/>
      <c r="CA631" s="5"/>
      <c r="CB631" s="5"/>
      <c r="CC631" s="5"/>
      <c r="CD631" s="5"/>
      <c r="CE631" s="5"/>
      <c r="CF631" s="5"/>
      <c r="CG631" s="5"/>
      <c r="CH631" s="5"/>
      <c r="CI631" s="5"/>
    </row>
    <row r="632" ht="14.25" customHeight="1">
      <c r="B632" s="1"/>
      <c r="D632" s="1"/>
      <c r="E632" s="33"/>
      <c r="F632" s="34"/>
      <c r="G632" s="5"/>
      <c r="H632" s="5"/>
      <c r="I632" s="5"/>
      <c r="J632" s="5"/>
      <c r="K632" s="5"/>
      <c r="L632" s="5"/>
      <c r="M632" s="32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 s="5"/>
      <c r="AY632" s="5"/>
      <c r="AZ632" s="5"/>
      <c r="BA632" s="5"/>
      <c r="BB632" s="5"/>
      <c r="BC632" s="5"/>
      <c r="BD632" s="5"/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/>
      <c r="BS632" s="5"/>
      <c r="BT632" s="5"/>
      <c r="BU632" s="5"/>
      <c r="BV632" s="5"/>
      <c r="BW632" s="5"/>
      <c r="BX632" s="5"/>
      <c r="BY632" s="5"/>
      <c r="BZ632" s="5"/>
      <c r="CA632" s="5"/>
      <c r="CB632" s="5"/>
      <c r="CC632" s="5"/>
      <c r="CD632" s="5"/>
      <c r="CE632" s="5"/>
      <c r="CF632" s="5"/>
      <c r="CG632" s="5"/>
      <c r="CH632" s="5"/>
      <c r="CI632" s="5"/>
    </row>
    <row r="633" ht="14.25" customHeight="1">
      <c r="B633" s="1"/>
      <c r="D633" s="1"/>
      <c r="E633" s="33"/>
      <c r="F633" s="34"/>
      <c r="G633" s="5"/>
      <c r="H633" s="5"/>
      <c r="I633" s="5"/>
      <c r="J633" s="5"/>
      <c r="K633" s="5"/>
      <c r="L633" s="5"/>
      <c r="M633" s="32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 s="5"/>
      <c r="AY633" s="5"/>
      <c r="AZ633" s="5"/>
      <c r="BA633" s="5"/>
      <c r="BB633" s="5"/>
      <c r="BC633" s="5"/>
      <c r="BD633" s="5"/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/>
      <c r="BS633" s="5"/>
      <c r="BT633" s="5"/>
      <c r="BU633" s="5"/>
      <c r="BV633" s="5"/>
      <c r="BW633" s="5"/>
      <c r="BX633" s="5"/>
      <c r="BY633" s="5"/>
      <c r="BZ633" s="5"/>
      <c r="CA633" s="5"/>
      <c r="CB633" s="5"/>
      <c r="CC633" s="5"/>
      <c r="CD633" s="5"/>
      <c r="CE633" s="5"/>
      <c r="CF633" s="5"/>
      <c r="CG633" s="5"/>
      <c r="CH633" s="5"/>
      <c r="CI633" s="5"/>
    </row>
    <row r="634" ht="14.25" customHeight="1">
      <c r="B634" s="1"/>
      <c r="D634" s="1"/>
      <c r="E634" s="33"/>
      <c r="F634" s="34"/>
      <c r="G634" s="5"/>
      <c r="H634" s="5"/>
      <c r="I634" s="5"/>
      <c r="J634" s="5"/>
      <c r="K634" s="5"/>
      <c r="L634" s="5"/>
      <c r="M634" s="32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 s="5"/>
      <c r="AY634" s="5"/>
      <c r="AZ634" s="5"/>
      <c r="BA634" s="5"/>
      <c r="BB634" s="5"/>
      <c r="BC634" s="5"/>
      <c r="BD634" s="5"/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/>
      <c r="BS634" s="5"/>
      <c r="BT634" s="5"/>
      <c r="BU634" s="5"/>
      <c r="BV634" s="5"/>
      <c r="BW634" s="5"/>
      <c r="BX634" s="5"/>
      <c r="BY634" s="5"/>
      <c r="BZ634" s="5"/>
      <c r="CA634" s="5"/>
      <c r="CB634" s="5"/>
      <c r="CC634" s="5"/>
      <c r="CD634" s="5"/>
      <c r="CE634" s="5"/>
      <c r="CF634" s="5"/>
      <c r="CG634" s="5"/>
      <c r="CH634" s="5"/>
      <c r="CI634" s="5"/>
    </row>
    <row r="635" ht="14.25" customHeight="1">
      <c r="B635" s="1"/>
      <c r="D635" s="1"/>
      <c r="E635" s="33"/>
      <c r="F635" s="34"/>
      <c r="G635" s="5"/>
      <c r="H635" s="5"/>
      <c r="I635" s="5"/>
      <c r="J635" s="5"/>
      <c r="K635" s="5"/>
      <c r="L635" s="5"/>
      <c r="M635" s="32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 s="5"/>
      <c r="AY635" s="5"/>
      <c r="AZ635" s="5"/>
      <c r="BA635" s="5"/>
      <c r="BB635" s="5"/>
      <c r="BC635" s="5"/>
      <c r="BD635" s="5"/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/>
      <c r="BS635" s="5"/>
      <c r="BT635" s="5"/>
      <c r="BU635" s="5"/>
      <c r="BV635" s="5"/>
      <c r="BW635" s="5"/>
      <c r="BX635" s="5"/>
      <c r="BY635" s="5"/>
      <c r="BZ635" s="5"/>
      <c r="CA635" s="5"/>
      <c r="CB635" s="5"/>
      <c r="CC635" s="5"/>
      <c r="CD635" s="5"/>
      <c r="CE635" s="5"/>
      <c r="CF635" s="5"/>
      <c r="CG635" s="5"/>
      <c r="CH635" s="5"/>
      <c r="CI635" s="5"/>
    </row>
    <row r="636" ht="14.25" customHeight="1">
      <c r="B636" s="1"/>
      <c r="D636" s="1"/>
      <c r="E636" s="33"/>
      <c r="F636" s="34"/>
      <c r="G636" s="5"/>
      <c r="H636" s="5"/>
      <c r="I636" s="5"/>
      <c r="J636" s="5"/>
      <c r="K636" s="5"/>
      <c r="L636" s="5"/>
      <c r="M636" s="32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/>
      <c r="BS636" s="5"/>
      <c r="BT636" s="5"/>
      <c r="BU636" s="5"/>
      <c r="BV636" s="5"/>
      <c r="BW636" s="5"/>
      <c r="BX636" s="5"/>
      <c r="BY636" s="5"/>
      <c r="BZ636" s="5"/>
      <c r="CA636" s="5"/>
      <c r="CB636" s="5"/>
      <c r="CC636" s="5"/>
      <c r="CD636" s="5"/>
      <c r="CE636" s="5"/>
      <c r="CF636" s="5"/>
      <c r="CG636" s="5"/>
      <c r="CH636" s="5"/>
      <c r="CI636" s="5"/>
    </row>
    <row r="637" ht="14.25" customHeight="1">
      <c r="B637" s="1"/>
      <c r="D637" s="1"/>
      <c r="E637" s="33"/>
      <c r="F637" s="34"/>
      <c r="G637" s="5"/>
      <c r="H637" s="5"/>
      <c r="I637" s="5"/>
      <c r="J637" s="5"/>
      <c r="K637" s="5"/>
      <c r="L637" s="5"/>
      <c r="M637" s="32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/>
      <c r="BS637" s="5"/>
      <c r="BT637" s="5"/>
      <c r="BU637" s="5"/>
      <c r="BV637" s="5"/>
      <c r="BW637" s="5"/>
      <c r="BX637" s="5"/>
      <c r="BY637" s="5"/>
      <c r="BZ637" s="5"/>
      <c r="CA637" s="5"/>
      <c r="CB637" s="5"/>
      <c r="CC637" s="5"/>
      <c r="CD637" s="5"/>
      <c r="CE637" s="5"/>
      <c r="CF637" s="5"/>
      <c r="CG637" s="5"/>
      <c r="CH637" s="5"/>
      <c r="CI637" s="5"/>
    </row>
    <row r="638" ht="14.25" customHeight="1">
      <c r="B638" s="1"/>
      <c r="D638" s="1"/>
      <c r="E638" s="33"/>
      <c r="F638" s="34"/>
      <c r="G638" s="5"/>
      <c r="H638" s="5"/>
      <c r="I638" s="5"/>
      <c r="J638" s="5"/>
      <c r="K638" s="5"/>
      <c r="L638" s="5"/>
      <c r="M638" s="32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/>
      <c r="BS638" s="5"/>
      <c r="BT638" s="5"/>
      <c r="BU638" s="5"/>
      <c r="BV638" s="5"/>
      <c r="BW638" s="5"/>
      <c r="BX638" s="5"/>
      <c r="BY638" s="5"/>
      <c r="BZ638" s="5"/>
      <c r="CA638" s="5"/>
      <c r="CB638" s="5"/>
      <c r="CC638" s="5"/>
      <c r="CD638" s="5"/>
      <c r="CE638" s="5"/>
      <c r="CF638" s="5"/>
      <c r="CG638" s="5"/>
      <c r="CH638" s="5"/>
      <c r="CI638" s="5"/>
    </row>
    <row r="639" ht="14.25" customHeight="1">
      <c r="B639" s="1"/>
      <c r="D639" s="1"/>
      <c r="E639" s="33"/>
      <c r="F639" s="34"/>
      <c r="G639" s="5"/>
      <c r="H639" s="5"/>
      <c r="I639" s="5"/>
      <c r="J639" s="5"/>
      <c r="K639" s="5"/>
      <c r="L639" s="5"/>
      <c r="M639" s="32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/>
      <c r="BS639" s="5"/>
      <c r="BT639" s="5"/>
      <c r="BU639" s="5"/>
      <c r="BV639" s="5"/>
      <c r="BW639" s="5"/>
      <c r="BX639" s="5"/>
      <c r="BY639" s="5"/>
      <c r="BZ639" s="5"/>
      <c r="CA639" s="5"/>
      <c r="CB639" s="5"/>
      <c r="CC639" s="5"/>
      <c r="CD639" s="5"/>
      <c r="CE639" s="5"/>
      <c r="CF639" s="5"/>
      <c r="CG639" s="5"/>
      <c r="CH639" s="5"/>
      <c r="CI639" s="5"/>
    </row>
    <row r="640" ht="14.25" customHeight="1">
      <c r="B640" s="1"/>
      <c r="D640" s="1"/>
      <c r="E640" s="33"/>
      <c r="F640" s="34"/>
      <c r="G640" s="5"/>
      <c r="H640" s="5"/>
      <c r="I640" s="5"/>
      <c r="J640" s="5"/>
      <c r="K640" s="5"/>
      <c r="L640" s="5"/>
      <c r="M640" s="32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/>
      <c r="BS640" s="5"/>
      <c r="BT640" s="5"/>
      <c r="BU640" s="5"/>
      <c r="BV640" s="5"/>
      <c r="BW640" s="5"/>
      <c r="BX640" s="5"/>
      <c r="BY640" s="5"/>
      <c r="BZ640" s="5"/>
      <c r="CA640" s="5"/>
      <c r="CB640" s="5"/>
      <c r="CC640" s="5"/>
      <c r="CD640" s="5"/>
      <c r="CE640" s="5"/>
      <c r="CF640" s="5"/>
      <c r="CG640" s="5"/>
      <c r="CH640" s="5"/>
      <c r="CI640" s="5"/>
    </row>
    <row r="641" ht="14.25" customHeight="1">
      <c r="B641" s="1"/>
      <c r="D641" s="1"/>
      <c r="E641" s="33"/>
      <c r="F641" s="34"/>
      <c r="G641" s="5"/>
      <c r="H641" s="5"/>
      <c r="I641" s="5"/>
      <c r="J641" s="5"/>
      <c r="K641" s="5"/>
      <c r="L641" s="5"/>
      <c r="M641" s="32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  <c r="BY641" s="5"/>
      <c r="BZ641" s="5"/>
      <c r="CA641" s="5"/>
      <c r="CB641" s="5"/>
      <c r="CC641" s="5"/>
      <c r="CD641" s="5"/>
      <c r="CE641" s="5"/>
      <c r="CF641" s="5"/>
      <c r="CG641" s="5"/>
      <c r="CH641" s="5"/>
      <c r="CI641" s="5"/>
    </row>
    <row r="642" ht="14.25" customHeight="1">
      <c r="B642" s="1"/>
      <c r="D642" s="1"/>
      <c r="E642" s="33"/>
      <c r="F642" s="34"/>
      <c r="G642" s="5"/>
      <c r="H642" s="5"/>
      <c r="I642" s="5"/>
      <c r="J642" s="5"/>
      <c r="K642" s="5"/>
      <c r="L642" s="5"/>
      <c r="M642" s="32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5"/>
      <c r="CC642" s="5"/>
      <c r="CD642" s="5"/>
      <c r="CE642" s="5"/>
      <c r="CF642" s="5"/>
      <c r="CG642" s="5"/>
      <c r="CH642" s="5"/>
      <c r="CI642" s="5"/>
    </row>
    <row r="643" ht="14.25" customHeight="1">
      <c r="B643" s="1"/>
      <c r="D643" s="1"/>
      <c r="E643" s="33"/>
      <c r="F643" s="34"/>
      <c r="G643" s="5"/>
      <c r="H643" s="5"/>
      <c r="I643" s="5"/>
      <c r="J643" s="5"/>
      <c r="K643" s="5"/>
      <c r="L643" s="5"/>
      <c r="M643" s="32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</row>
    <row r="644" ht="14.25" customHeight="1">
      <c r="B644" s="1"/>
      <c r="D644" s="1"/>
      <c r="E644" s="33"/>
      <c r="F644" s="34"/>
      <c r="G644" s="5"/>
      <c r="H644" s="5"/>
      <c r="I644" s="5"/>
      <c r="J644" s="5"/>
      <c r="K644" s="5"/>
      <c r="L644" s="5"/>
      <c r="M644" s="32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</row>
    <row r="645" ht="14.25" customHeight="1">
      <c r="B645" s="1"/>
      <c r="D645" s="1"/>
      <c r="E645" s="33"/>
      <c r="F645" s="34"/>
      <c r="G645" s="5"/>
      <c r="H645" s="5"/>
      <c r="I645" s="5"/>
      <c r="J645" s="5"/>
      <c r="K645" s="5"/>
      <c r="L645" s="5"/>
      <c r="M645" s="32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</row>
    <row r="646" ht="14.25" customHeight="1">
      <c r="B646" s="1"/>
      <c r="D646" s="1"/>
      <c r="E646" s="33"/>
      <c r="F646" s="34"/>
      <c r="G646" s="5"/>
      <c r="H646" s="5"/>
      <c r="I646" s="5"/>
      <c r="J646" s="5"/>
      <c r="K646" s="5"/>
      <c r="L646" s="5"/>
      <c r="M646" s="32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</row>
    <row r="647" ht="14.25" customHeight="1">
      <c r="B647" s="1"/>
      <c r="D647" s="1"/>
      <c r="E647" s="33"/>
      <c r="F647" s="34"/>
      <c r="G647" s="5"/>
      <c r="H647" s="5"/>
      <c r="I647" s="5"/>
      <c r="J647" s="5"/>
      <c r="K647" s="5"/>
      <c r="L647" s="5"/>
      <c r="M647" s="32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</row>
    <row r="648" ht="14.25" customHeight="1">
      <c r="B648" s="1"/>
      <c r="D648" s="1"/>
      <c r="E648" s="33"/>
      <c r="F648" s="34"/>
      <c r="G648" s="5"/>
      <c r="H648" s="5"/>
      <c r="I648" s="5"/>
      <c r="J648" s="5"/>
      <c r="K648" s="5"/>
      <c r="L648" s="5"/>
      <c r="M648" s="32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</row>
    <row r="649" ht="14.25" customHeight="1">
      <c r="B649" s="1"/>
      <c r="D649" s="1"/>
      <c r="E649" s="33"/>
      <c r="F649" s="34"/>
      <c r="G649" s="5"/>
      <c r="H649" s="5"/>
      <c r="I649" s="5"/>
      <c r="J649" s="5"/>
      <c r="K649" s="5"/>
      <c r="L649" s="5"/>
      <c r="M649" s="32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</row>
    <row r="650" ht="14.25" customHeight="1">
      <c r="B650" s="1"/>
      <c r="D650" s="1"/>
      <c r="E650" s="33"/>
      <c r="F650" s="34"/>
      <c r="G650" s="5"/>
      <c r="H650" s="5"/>
      <c r="I650" s="5"/>
      <c r="J650" s="5"/>
      <c r="K650" s="5"/>
      <c r="L650" s="5"/>
      <c r="M650" s="32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</row>
    <row r="651" ht="14.25" customHeight="1">
      <c r="B651" s="1"/>
      <c r="D651" s="1"/>
      <c r="E651" s="33"/>
      <c r="F651" s="34"/>
      <c r="G651" s="5"/>
      <c r="H651" s="5"/>
      <c r="I651" s="5"/>
      <c r="J651" s="5"/>
      <c r="K651" s="5"/>
      <c r="L651" s="5"/>
      <c r="M651" s="32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</row>
    <row r="652" ht="14.25" customHeight="1">
      <c r="B652" s="1"/>
      <c r="D652" s="1"/>
      <c r="E652" s="33"/>
      <c r="F652" s="34"/>
      <c r="G652" s="5"/>
      <c r="H652" s="5"/>
      <c r="I652" s="5"/>
      <c r="J652" s="5"/>
      <c r="K652" s="5"/>
      <c r="L652" s="5"/>
      <c r="M652" s="32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</row>
    <row r="653" ht="14.25" customHeight="1">
      <c r="B653" s="1"/>
      <c r="D653" s="1"/>
      <c r="E653" s="33"/>
      <c r="F653" s="34"/>
      <c r="G653" s="5"/>
      <c r="H653" s="5"/>
      <c r="I653" s="5"/>
      <c r="J653" s="5"/>
      <c r="K653" s="5"/>
      <c r="L653" s="5"/>
      <c r="M653" s="32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</row>
    <row r="654" ht="14.25" customHeight="1">
      <c r="B654" s="1"/>
      <c r="D654" s="1"/>
      <c r="E654" s="33"/>
      <c r="F654" s="34"/>
      <c r="G654" s="5"/>
      <c r="H654" s="5"/>
      <c r="I654" s="5"/>
      <c r="J654" s="5"/>
      <c r="K654" s="5"/>
      <c r="L654" s="5"/>
      <c r="M654" s="32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</row>
    <row r="655" ht="14.25" customHeight="1">
      <c r="B655" s="1"/>
      <c r="D655" s="1"/>
      <c r="E655" s="33"/>
      <c r="F655" s="34"/>
      <c r="G655" s="5"/>
      <c r="H655" s="5"/>
      <c r="I655" s="5"/>
      <c r="J655" s="5"/>
      <c r="K655" s="5"/>
      <c r="L655" s="5"/>
      <c r="M655" s="32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</row>
    <row r="656" ht="14.25" customHeight="1">
      <c r="B656" s="1"/>
      <c r="D656" s="1"/>
      <c r="E656" s="33"/>
      <c r="F656" s="34"/>
      <c r="G656" s="5"/>
      <c r="H656" s="5"/>
      <c r="I656" s="5"/>
      <c r="J656" s="5"/>
      <c r="K656" s="5"/>
      <c r="L656" s="5"/>
      <c r="M656" s="32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</row>
    <row r="657" ht="14.25" customHeight="1">
      <c r="B657" s="1"/>
      <c r="D657" s="1"/>
      <c r="E657" s="33"/>
      <c r="F657" s="34"/>
      <c r="G657" s="5"/>
      <c r="H657" s="5"/>
      <c r="I657" s="5"/>
      <c r="J657" s="5"/>
      <c r="K657" s="5"/>
      <c r="L657" s="5"/>
      <c r="M657" s="32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</row>
    <row r="658" ht="14.25" customHeight="1">
      <c r="B658" s="1"/>
      <c r="D658" s="1"/>
      <c r="E658" s="33"/>
      <c r="F658" s="34"/>
      <c r="G658" s="5"/>
      <c r="H658" s="5"/>
      <c r="I658" s="5"/>
      <c r="J658" s="5"/>
      <c r="K658" s="5"/>
      <c r="L658" s="5"/>
      <c r="M658" s="32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</row>
    <row r="659" ht="14.25" customHeight="1">
      <c r="B659" s="1"/>
      <c r="D659" s="1"/>
      <c r="E659" s="33"/>
      <c r="F659" s="34"/>
      <c r="G659" s="5"/>
      <c r="H659" s="5"/>
      <c r="I659" s="5"/>
      <c r="J659" s="5"/>
      <c r="K659" s="5"/>
      <c r="L659" s="5"/>
      <c r="M659" s="32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/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</row>
    <row r="660" ht="14.25" customHeight="1">
      <c r="B660" s="1"/>
      <c r="D660" s="1"/>
      <c r="E660" s="33"/>
      <c r="F660" s="34"/>
      <c r="G660" s="5"/>
      <c r="H660" s="5"/>
      <c r="I660" s="5"/>
      <c r="J660" s="5"/>
      <c r="K660" s="5"/>
      <c r="L660" s="5"/>
      <c r="M660" s="32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/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</row>
    <row r="661" ht="14.25" customHeight="1">
      <c r="B661" s="1"/>
      <c r="D661" s="1"/>
      <c r="E661" s="33"/>
      <c r="F661" s="34"/>
      <c r="G661" s="5"/>
      <c r="H661" s="5"/>
      <c r="I661" s="5"/>
      <c r="J661" s="5"/>
      <c r="K661" s="5"/>
      <c r="L661" s="5"/>
      <c r="M661" s="32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/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</row>
    <row r="662" ht="14.25" customHeight="1">
      <c r="B662" s="1"/>
      <c r="D662" s="1"/>
      <c r="E662" s="33"/>
      <c r="F662" s="34"/>
      <c r="G662" s="5"/>
      <c r="H662" s="5"/>
      <c r="I662" s="5"/>
      <c r="J662" s="5"/>
      <c r="K662" s="5"/>
      <c r="L662" s="5"/>
      <c r="M662" s="32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/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</row>
    <row r="663" ht="14.25" customHeight="1">
      <c r="B663" s="1"/>
      <c r="D663" s="1"/>
      <c r="E663" s="33"/>
      <c r="F663" s="34"/>
      <c r="G663" s="5"/>
      <c r="H663" s="5"/>
      <c r="I663" s="5"/>
      <c r="J663" s="5"/>
      <c r="K663" s="5"/>
      <c r="L663" s="5"/>
      <c r="M663" s="32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/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</row>
    <row r="664" ht="14.25" customHeight="1">
      <c r="B664" s="1"/>
      <c r="D664" s="1"/>
      <c r="E664" s="33"/>
      <c r="F664" s="34"/>
      <c r="G664" s="5"/>
      <c r="H664" s="5"/>
      <c r="I664" s="5"/>
      <c r="J664" s="5"/>
      <c r="K664" s="5"/>
      <c r="L664" s="5"/>
      <c r="M664" s="32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/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</row>
    <row r="665" ht="14.25" customHeight="1">
      <c r="B665" s="1"/>
      <c r="D665" s="1"/>
      <c r="E665" s="33"/>
      <c r="F665" s="34"/>
      <c r="G665" s="5"/>
      <c r="H665" s="5"/>
      <c r="I665" s="5"/>
      <c r="J665" s="5"/>
      <c r="K665" s="5"/>
      <c r="L665" s="5"/>
      <c r="M665" s="32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/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</row>
    <row r="666" ht="14.25" customHeight="1">
      <c r="B666" s="1"/>
      <c r="D666" s="1"/>
      <c r="E666" s="33"/>
      <c r="F666" s="34"/>
      <c r="G666" s="5"/>
      <c r="H666" s="5"/>
      <c r="I666" s="5"/>
      <c r="J666" s="5"/>
      <c r="K666" s="5"/>
      <c r="L666" s="5"/>
      <c r="M666" s="32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/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</row>
    <row r="667" ht="14.25" customHeight="1">
      <c r="B667" s="1"/>
      <c r="D667" s="1"/>
      <c r="E667" s="33"/>
      <c r="F667" s="34"/>
      <c r="G667" s="5"/>
      <c r="H667" s="5"/>
      <c r="I667" s="5"/>
      <c r="J667" s="5"/>
      <c r="K667" s="5"/>
      <c r="L667" s="5"/>
      <c r="M667" s="32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/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5"/>
      <c r="BP667" s="5"/>
      <c r="BQ667" s="5"/>
      <c r="BR667" s="5"/>
      <c r="BS667" s="5"/>
      <c r="BT667" s="5"/>
      <c r="BU667" s="5"/>
      <c r="BV667" s="5"/>
      <c r="BW667" s="5"/>
      <c r="BX667" s="5"/>
      <c r="BY667" s="5"/>
      <c r="BZ667" s="5"/>
      <c r="CA667" s="5"/>
      <c r="CB667" s="5"/>
      <c r="CC667" s="5"/>
      <c r="CD667" s="5"/>
      <c r="CE667" s="5"/>
      <c r="CF667" s="5"/>
      <c r="CG667" s="5"/>
      <c r="CH667" s="5"/>
      <c r="CI667" s="5"/>
    </row>
    <row r="668" ht="14.25" customHeight="1">
      <c r="B668" s="1"/>
      <c r="D668" s="1"/>
      <c r="E668" s="33"/>
      <c r="F668" s="34"/>
      <c r="G668" s="5"/>
      <c r="H668" s="5"/>
      <c r="I668" s="5"/>
      <c r="J668" s="5"/>
      <c r="K668" s="5"/>
      <c r="L668" s="5"/>
      <c r="M668" s="32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5"/>
      <c r="BL668" s="5"/>
      <c r="BM668" s="5"/>
      <c r="BN668" s="5"/>
      <c r="BO668" s="5"/>
      <c r="BP668" s="5"/>
      <c r="BQ668" s="5"/>
      <c r="BR668" s="5"/>
      <c r="BS668" s="5"/>
      <c r="BT668" s="5"/>
      <c r="BU668" s="5"/>
      <c r="BV668" s="5"/>
      <c r="BW668" s="5"/>
      <c r="BX668" s="5"/>
      <c r="BY668" s="5"/>
      <c r="BZ668" s="5"/>
      <c r="CA668" s="5"/>
      <c r="CB668" s="5"/>
      <c r="CC668" s="5"/>
      <c r="CD668" s="5"/>
      <c r="CE668" s="5"/>
      <c r="CF668" s="5"/>
      <c r="CG668" s="5"/>
      <c r="CH668" s="5"/>
      <c r="CI668" s="5"/>
    </row>
    <row r="669" ht="14.25" customHeight="1">
      <c r="B669" s="1"/>
      <c r="D669" s="1"/>
      <c r="E669" s="33"/>
      <c r="F669" s="34"/>
      <c r="G669" s="5"/>
      <c r="H669" s="5"/>
      <c r="I669" s="5"/>
      <c r="J669" s="5"/>
      <c r="K669" s="5"/>
      <c r="L669" s="5"/>
      <c r="M669" s="32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5"/>
      <c r="BL669" s="5"/>
      <c r="BM669" s="5"/>
      <c r="BN669" s="5"/>
      <c r="BO669" s="5"/>
      <c r="BP669" s="5"/>
      <c r="BQ669" s="5"/>
      <c r="BR669" s="5"/>
      <c r="BS669" s="5"/>
      <c r="BT669" s="5"/>
      <c r="BU669" s="5"/>
      <c r="BV669" s="5"/>
      <c r="BW669" s="5"/>
      <c r="BX669" s="5"/>
      <c r="BY669" s="5"/>
      <c r="BZ669" s="5"/>
      <c r="CA669" s="5"/>
      <c r="CB669" s="5"/>
      <c r="CC669" s="5"/>
      <c r="CD669" s="5"/>
      <c r="CE669" s="5"/>
      <c r="CF669" s="5"/>
      <c r="CG669" s="5"/>
      <c r="CH669" s="5"/>
      <c r="CI669" s="5"/>
    </row>
    <row r="670" ht="14.25" customHeight="1">
      <c r="B670" s="1"/>
      <c r="D670" s="1"/>
      <c r="E670" s="33"/>
      <c r="F670" s="34"/>
      <c r="G670" s="5"/>
      <c r="H670" s="5"/>
      <c r="I670" s="5"/>
      <c r="J670" s="5"/>
      <c r="K670" s="5"/>
      <c r="L670" s="5"/>
      <c r="M670" s="32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/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/>
      <c r="BK670" s="5"/>
      <c r="BL670" s="5"/>
      <c r="BM670" s="5"/>
      <c r="BN670" s="5"/>
      <c r="BO670" s="5"/>
      <c r="BP670" s="5"/>
      <c r="BQ670" s="5"/>
      <c r="BR670" s="5"/>
      <c r="BS670" s="5"/>
      <c r="BT670" s="5"/>
      <c r="BU670" s="5"/>
      <c r="BV670" s="5"/>
      <c r="BW670" s="5"/>
      <c r="BX670" s="5"/>
      <c r="BY670" s="5"/>
      <c r="BZ670" s="5"/>
      <c r="CA670" s="5"/>
      <c r="CB670" s="5"/>
      <c r="CC670" s="5"/>
      <c r="CD670" s="5"/>
      <c r="CE670" s="5"/>
      <c r="CF670" s="5"/>
      <c r="CG670" s="5"/>
      <c r="CH670" s="5"/>
      <c r="CI670" s="5"/>
    </row>
    <row r="671" ht="14.25" customHeight="1">
      <c r="B671" s="1"/>
      <c r="D671" s="1"/>
      <c r="E671" s="33"/>
      <c r="F671" s="34"/>
      <c r="G671" s="5"/>
      <c r="H671" s="5"/>
      <c r="I671" s="5"/>
      <c r="J671" s="5"/>
      <c r="K671" s="5"/>
      <c r="L671" s="5"/>
      <c r="M671" s="32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5"/>
      <c r="BK671" s="5"/>
      <c r="BL671" s="5"/>
      <c r="BM671" s="5"/>
      <c r="BN671" s="5"/>
      <c r="BO671" s="5"/>
      <c r="BP671" s="5"/>
      <c r="BQ671" s="5"/>
      <c r="BR671" s="5"/>
      <c r="BS671" s="5"/>
      <c r="BT671" s="5"/>
      <c r="BU671" s="5"/>
      <c r="BV671" s="5"/>
      <c r="BW671" s="5"/>
      <c r="BX671" s="5"/>
      <c r="BY671" s="5"/>
      <c r="BZ671" s="5"/>
      <c r="CA671" s="5"/>
      <c r="CB671" s="5"/>
      <c r="CC671" s="5"/>
      <c r="CD671" s="5"/>
      <c r="CE671" s="5"/>
      <c r="CF671" s="5"/>
      <c r="CG671" s="5"/>
      <c r="CH671" s="5"/>
      <c r="CI671" s="5"/>
    </row>
    <row r="672" ht="14.25" customHeight="1">
      <c r="B672" s="1"/>
      <c r="D672" s="1"/>
      <c r="E672" s="33"/>
      <c r="F672" s="34"/>
      <c r="G672" s="5"/>
      <c r="H672" s="5"/>
      <c r="I672" s="5"/>
      <c r="J672" s="5"/>
      <c r="K672" s="5"/>
      <c r="L672" s="5"/>
      <c r="M672" s="32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/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5"/>
      <c r="BK672" s="5"/>
      <c r="BL672" s="5"/>
      <c r="BM672" s="5"/>
      <c r="BN672" s="5"/>
      <c r="BO672" s="5"/>
      <c r="BP672" s="5"/>
      <c r="BQ672" s="5"/>
      <c r="BR672" s="5"/>
      <c r="BS672" s="5"/>
      <c r="BT672" s="5"/>
      <c r="BU672" s="5"/>
      <c r="BV672" s="5"/>
      <c r="BW672" s="5"/>
      <c r="BX672" s="5"/>
      <c r="BY672" s="5"/>
      <c r="BZ672" s="5"/>
      <c r="CA672" s="5"/>
      <c r="CB672" s="5"/>
      <c r="CC672" s="5"/>
      <c r="CD672" s="5"/>
      <c r="CE672" s="5"/>
      <c r="CF672" s="5"/>
      <c r="CG672" s="5"/>
      <c r="CH672" s="5"/>
      <c r="CI672" s="5"/>
    </row>
    <row r="673" ht="14.25" customHeight="1">
      <c r="B673" s="1"/>
      <c r="D673" s="1"/>
      <c r="E673" s="33"/>
      <c r="F673" s="34"/>
      <c r="G673" s="5"/>
      <c r="H673" s="5"/>
      <c r="I673" s="5"/>
      <c r="J673" s="5"/>
      <c r="K673" s="5"/>
      <c r="L673" s="5"/>
      <c r="M673" s="32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/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/>
      <c r="BF673" s="5"/>
      <c r="BG673" s="5"/>
      <c r="BH673" s="5"/>
      <c r="BI673" s="5"/>
      <c r="BJ673" s="5"/>
      <c r="BK673" s="5"/>
      <c r="BL673" s="5"/>
      <c r="BM673" s="5"/>
      <c r="BN673" s="5"/>
      <c r="BO673" s="5"/>
      <c r="BP673" s="5"/>
      <c r="BQ673" s="5"/>
      <c r="BR673" s="5"/>
      <c r="BS673" s="5"/>
      <c r="BT673" s="5"/>
      <c r="BU673" s="5"/>
      <c r="BV673" s="5"/>
      <c r="BW673" s="5"/>
      <c r="BX673" s="5"/>
      <c r="BY673" s="5"/>
      <c r="BZ673" s="5"/>
      <c r="CA673" s="5"/>
      <c r="CB673" s="5"/>
      <c r="CC673" s="5"/>
      <c r="CD673" s="5"/>
      <c r="CE673" s="5"/>
      <c r="CF673" s="5"/>
      <c r="CG673" s="5"/>
      <c r="CH673" s="5"/>
      <c r="CI673" s="5"/>
    </row>
    <row r="674" ht="14.25" customHeight="1">
      <c r="B674" s="1"/>
      <c r="D674" s="1"/>
      <c r="E674" s="33"/>
      <c r="F674" s="34"/>
      <c r="G674" s="5"/>
      <c r="H674" s="5"/>
      <c r="I674" s="5"/>
      <c r="J674" s="5"/>
      <c r="K674" s="5"/>
      <c r="L674" s="5"/>
      <c r="M674" s="32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/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/>
      <c r="BF674" s="5"/>
      <c r="BG674" s="5"/>
      <c r="BH674" s="5"/>
      <c r="BI674" s="5"/>
      <c r="BJ674" s="5"/>
      <c r="BK674" s="5"/>
      <c r="BL674" s="5"/>
      <c r="BM674" s="5"/>
      <c r="BN674" s="5"/>
      <c r="BO674" s="5"/>
      <c r="BP674" s="5"/>
      <c r="BQ674" s="5"/>
      <c r="BR674" s="5"/>
      <c r="BS674" s="5"/>
      <c r="BT674" s="5"/>
      <c r="BU674" s="5"/>
      <c r="BV674" s="5"/>
      <c r="BW674" s="5"/>
      <c r="BX674" s="5"/>
      <c r="BY674" s="5"/>
      <c r="BZ674" s="5"/>
      <c r="CA674" s="5"/>
      <c r="CB674" s="5"/>
      <c r="CC674" s="5"/>
      <c r="CD674" s="5"/>
      <c r="CE674" s="5"/>
      <c r="CF674" s="5"/>
      <c r="CG674" s="5"/>
      <c r="CH674" s="5"/>
      <c r="CI674" s="5"/>
    </row>
    <row r="675" ht="14.25" customHeight="1">
      <c r="B675" s="1"/>
      <c r="D675" s="1"/>
      <c r="E675" s="33"/>
      <c r="F675" s="34"/>
      <c r="G675" s="5"/>
      <c r="H675" s="5"/>
      <c r="I675" s="5"/>
      <c r="J675" s="5"/>
      <c r="K675" s="5"/>
      <c r="L675" s="5"/>
      <c r="M675" s="32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/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/>
      <c r="BF675" s="5"/>
      <c r="BG675" s="5"/>
      <c r="BH675" s="5"/>
      <c r="BI675" s="5"/>
      <c r="BJ675" s="5"/>
      <c r="BK675" s="5"/>
      <c r="BL675" s="5"/>
      <c r="BM675" s="5"/>
      <c r="BN675" s="5"/>
      <c r="BO675" s="5"/>
      <c r="BP675" s="5"/>
      <c r="BQ675" s="5"/>
      <c r="BR675" s="5"/>
      <c r="BS675" s="5"/>
      <c r="BT675" s="5"/>
      <c r="BU675" s="5"/>
      <c r="BV675" s="5"/>
      <c r="BW675" s="5"/>
      <c r="BX675" s="5"/>
      <c r="BY675" s="5"/>
      <c r="BZ675" s="5"/>
      <c r="CA675" s="5"/>
      <c r="CB675" s="5"/>
      <c r="CC675" s="5"/>
      <c r="CD675" s="5"/>
      <c r="CE675" s="5"/>
      <c r="CF675" s="5"/>
      <c r="CG675" s="5"/>
      <c r="CH675" s="5"/>
      <c r="CI675" s="5"/>
    </row>
    <row r="676" ht="14.25" customHeight="1">
      <c r="B676" s="1"/>
      <c r="D676" s="1"/>
      <c r="E676" s="33"/>
      <c r="F676" s="34"/>
      <c r="G676" s="5"/>
      <c r="H676" s="5"/>
      <c r="I676" s="5"/>
      <c r="J676" s="5"/>
      <c r="K676" s="5"/>
      <c r="L676" s="5"/>
      <c r="M676" s="32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/>
      <c r="BF676" s="5"/>
      <c r="BG676" s="5"/>
      <c r="BH676" s="5"/>
      <c r="BI676" s="5"/>
      <c r="BJ676" s="5"/>
      <c r="BK676" s="5"/>
      <c r="BL676" s="5"/>
      <c r="BM676" s="5"/>
      <c r="BN676" s="5"/>
      <c r="BO676" s="5"/>
      <c r="BP676" s="5"/>
      <c r="BQ676" s="5"/>
      <c r="BR676" s="5"/>
      <c r="BS676" s="5"/>
      <c r="BT676" s="5"/>
      <c r="BU676" s="5"/>
      <c r="BV676" s="5"/>
      <c r="BW676" s="5"/>
      <c r="BX676" s="5"/>
      <c r="BY676" s="5"/>
      <c r="BZ676" s="5"/>
      <c r="CA676" s="5"/>
      <c r="CB676" s="5"/>
      <c r="CC676" s="5"/>
      <c r="CD676" s="5"/>
      <c r="CE676" s="5"/>
      <c r="CF676" s="5"/>
      <c r="CG676" s="5"/>
      <c r="CH676" s="5"/>
      <c r="CI676" s="5"/>
    </row>
    <row r="677" ht="14.25" customHeight="1">
      <c r="B677" s="1"/>
      <c r="D677" s="1"/>
      <c r="E677" s="33"/>
      <c r="F677" s="34"/>
      <c r="G677" s="5"/>
      <c r="H677" s="5"/>
      <c r="I677" s="5"/>
      <c r="J677" s="5"/>
      <c r="K677" s="5"/>
      <c r="L677" s="5"/>
      <c r="M677" s="32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/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/>
      <c r="BF677" s="5"/>
      <c r="BG677" s="5"/>
      <c r="BH677" s="5"/>
      <c r="BI677" s="5"/>
      <c r="BJ677" s="5"/>
      <c r="BK677" s="5"/>
      <c r="BL677" s="5"/>
      <c r="BM677" s="5"/>
      <c r="BN677" s="5"/>
      <c r="BO677" s="5"/>
      <c r="BP677" s="5"/>
      <c r="BQ677" s="5"/>
      <c r="BR677" s="5"/>
      <c r="BS677" s="5"/>
      <c r="BT677" s="5"/>
      <c r="BU677" s="5"/>
      <c r="BV677" s="5"/>
      <c r="BW677" s="5"/>
      <c r="BX677" s="5"/>
      <c r="BY677" s="5"/>
      <c r="BZ677" s="5"/>
      <c r="CA677" s="5"/>
      <c r="CB677" s="5"/>
      <c r="CC677" s="5"/>
      <c r="CD677" s="5"/>
      <c r="CE677" s="5"/>
      <c r="CF677" s="5"/>
      <c r="CG677" s="5"/>
      <c r="CH677" s="5"/>
      <c r="CI677" s="5"/>
    </row>
    <row r="678" ht="14.25" customHeight="1">
      <c r="B678" s="1"/>
      <c r="D678" s="1"/>
      <c r="E678" s="33"/>
      <c r="F678" s="34"/>
      <c r="G678" s="5"/>
      <c r="H678" s="5"/>
      <c r="I678" s="5"/>
      <c r="J678" s="5"/>
      <c r="K678" s="5"/>
      <c r="L678" s="5"/>
      <c r="M678" s="32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/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/>
      <c r="BF678" s="5"/>
      <c r="BG678" s="5"/>
      <c r="BH678" s="5"/>
      <c r="BI678" s="5"/>
      <c r="BJ678" s="5"/>
      <c r="BK678" s="5"/>
      <c r="BL678" s="5"/>
      <c r="BM678" s="5"/>
      <c r="BN678" s="5"/>
      <c r="BO678" s="5"/>
      <c r="BP678" s="5"/>
      <c r="BQ678" s="5"/>
      <c r="BR678" s="5"/>
      <c r="BS678" s="5"/>
      <c r="BT678" s="5"/>
      <c r="BU678" s="5"/>
      <c r="BV678" s="5"/>
      <c r="BW678" s="5"/>
      <c r="BX678" s="5"/>
      <c r="BY678" s="5"/>
      <c r="BZ678" s="5"/>
      <c r="CA678" s="5"/>
      <c r="CB678" s="5"/>
      <c r="CC678" s="5"/>
      <c r="CD678" s="5"/>
      <c r="CE678" s="5"/>
      <c r="CF678" s="5"/>
      <c r="CG678" s="5"/>
      <c r="CH678" s="5"/>
      <c r="CI678" s="5"/>
    </row>
    <row r="679" ht="14.25" customHeight="1">
      <c r="B679" s="1"/>
      <c r="D679" s="1"/>
      <c r="E679" s="33"/>
      <c r="F679" s="34"/>
      <c r="G679" s="5"/>
      <c r="H679" s="5"/>
      <c r="I679" s="5"/>
      <c r="J679" s="5"/>
      <c r="K679" s="5"/>
      <c r="L679" s="5"/>
      <c r="M679" s="32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/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/>
      <c r="BF679" s="5"/>
      <c r="BG679" s="5"/>
      <c r="BH679" s="5"/>
      <c r="BI679" s="5"/>
      <c r="BJ679" s="5"/>
      <c r="BK679" s="5"/>
      <c r="BL679" s="5"/>
      <c r="BM679" s="5"/>
      <c r="BN679" s="5"/>
      <c r="BO679" s="5"/>
      <c r="BP679" s="5"/>
      <c r="BQ679" s="5"/>
      <c r="BR679" s="5"/>
      <c r="BS679" s="5"/>
      <c r="BT679" s="5"/>
      <c r="BU679" s="5"/>
      <c r="BV679" s="5"/>
      <c r="BW679" s="5"/>
      <c r="BX679" s="5"/>
      <c r="BY679" s="5"/>
      <c r="BZ679" s="5"/>
      <c r="CA679" s="5"/>
      <c r="CB679" s="5"/>
      <c r="CC679" s="5"/>
      <c r="CD679" s="5"/>
      <c r="CE679" s="5"/>
      <c r="CF679" s="5"/>
      <c r="CG679" s="5"/>
      <c r="CH679" s="5"/>
      <c r="CI679" s="5"/>
    </row>
    <row r="680" ht="14.25" customHeight="1">
      <c r="B680" s="1"/>
      <c r="D680" s="1"/>
      <c r="E680" s="33"/>
      <c r="F680" s="34"/>
      <c r="G680" s="5"/>
      <c r="H680" s="5"/>
      <c r="I680" s="5"/>
      <c r="J680" s="5"/>
      <c r="K680" s="5"/>
      <c r="L680" s="5"/>
      <c r="M680" s="32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/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/>
      <c r="BF680" s="5"/>
      <c r="BG680" s="5"/>
      <c r="BH680" s="5"/>
      <c r="BI680" s="5"/>
      <c r="BJ680" s="5"/>
      <c r="BK680" s="5"/>
      <c r="BL680" s="5"/>
      <c r="BM680" s="5"/>
      <c r="BN680" s="5"/>
      <c r="BO680" s="5"/>
      <c r="BP680" s="5"/>
      <c r="BQ680" s="5"/>
      <c r="BR680" s="5"/>
      <c r="BS680" s="5"/>
      <c r="BT680" s="5"/>
      <c r="BU680" s="5"/>
      <c r="BV680" s="5"/>
      <c r="BW680" s="5"/>
      <c r="BX680" s="5"/>
      <c r="BY680" s="5"/>
      <c r="BZ680" s="5"/>
      <c r="CA680" s="5"/>
      <c r="CB680" s="5"/>
      <c r="CC680" s="5"/>
      <c r="CD680" s="5"/>
      <c r="CE680" s="5"/>
      <c r="CF680" s="5"/>
      <c r="CG680" s="5"/>
      <c r="CH680" s="5"/>
      <c r="CI680" s="5"/>
    </row>
    <row r="681" ht="14.25" customHeight="1">
      <c r="B681" s="1"/>
      <c r="D681" s="1"/>
      <c r="E681" s="33"/>
      <c r="F681" s="34"/>
      <c r="G681" s="5"/>
      <c r="H681" s="5"/>
      <c r="I681" s="5"/>
      <c r="J681" s="5"/>
      <c r="K681" s="5"/>
      <c r="L681" s="5"/>
      <c r="M681" s="32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/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/>
      <c r="BF681" s="5"/>
      <c r="BG681" s="5"/>
      <c r="BH681" s="5"/>
      <c r="BI681" s="5"/>
      <c r="BJ681" s="5"/>
      <c r="BK681" s="5"/>
      <c r="BL681" s="5"/>
      <c r="BM681" s="5"/>
      <c r="BN681" s="5"/>
      <c r="BO681" s="5"/>
      <c r="BP681" s="5"/>
      <c r="BQ681" s="5"/>
      <c r="BR681" s="5"/>
      <c r="BS681" s="5"/>
      <c r="BT681" s="5"/>
      <c r="BU681" s="5"/>
      <c r="BV681" s="5"/>
      <c r="BW681" s="5"/>
      <c r="BX681" s="5"/>
      <c r="BY681" s="5"/>
      <c r="BZ681" s="5"/>
      <c r="CA681" s="5"/>
      <c r="CB681" s="5"/>
      <c r="CC681" s="5"/>
      <c r="CD681" s="5"/>
      <c r="CE681" s="5"/>
      <c r="CF681" s="5"/>
      <c r="CG681" s="5"/>
      <c r="CH681" s="5"/>
      <c r="CI681" s="5"/>
    </row>
    <row r="682" ht="14.25" customHeight="1">
      <c r="B682" s="1"/>
      <c r="D682" s="1"/>
      <c r="E682" s="33"/>
      <c r="F682" s="34"/>
      <c r="G682" s="5"/>
      <c r="H682" s="5"/>
      <c r="I682" s="5"/>
      <c r="J682" s="5"/>
      <c r="K682" s="5"/>
      <c r="L682" s="5"/>
      <c r="M682" s="32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/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/>
      <c r="BF682" s="5"/>
      <c r="BG682" s="5"/>
      <c r="BH682" s="5"/>
      <c r="BI682" s="5"/>
      <c r="BJ682" s="5"/>
      <c r="BK682" s="5"/>
      <c r="BL682" s="5"/>
      <c r="BM682" s="5"/>
      <c r="BN682" s="5"/>
      <c r="BO682" s="5"/>
      <c r="BP682" s="5"/>
      <c r="BQ682" s="5"/>
      <c r="BR682" s="5"/>
      <c r="BS682" s="5"/>
      <c r="BT682" s="5"/>
      <c r="BU682" s="5"/>
      <c r="BV682" s="5"/>
      <c r="BW682" s="5"/>
      <c r="BX682" s="5"/>
      <c r="BY682" s="5"/>
      <c r="BZ682" s="5"/>
      <c r="CA682" s="5"/>
      <c r="CB682" s="5"/>
      <c r="CC682" s="5"/>
      <c r="CD682" s="5"/>
      <c r="CE682" s="5"/>
      <c r="CF682" s="5"/>
      <c r="CG682" s="5"/>
      <c r="CH682" s="5"/>
      <c r="CI682" s="5"/>
    </row>
    <row r="683" ht="14.25" customHeight="1">
      <c r="B683" s="1"/>
      <c r="D683" s="1"/>
      <c r="E683" s="33"/>
      <c r="F683" s="34"/>
      <c r="G683" s="5"/>
      <c r="H683" s="5"/>
      <c r="I683" s="5"/>
      <c r="J683" s="5"/>
      <c r="K683" s="5"/>
      <c r="L683" s="5"/>
      <c r="M683" s="32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/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/>
      <c r="BF683" s="5"/>
      <c r="BG683" s="5"/>
      <c r="BH683" s="5"/>
      <c r="BI683" s="5"/>
      <c r="BJ683" s="5"/>
      <c r="BK683" s="5"/>
      <c r="BL683" s="5"/>
      <c r="BM683" s="5"/>
      <c r="BN683" s="5"/>
      <c r="BO683" s="5"/>
      <c r="BP683" s="5"/>
      <c r="BQ683" s="5"/>
      <c r="BR683" s="5"/>
      <c r="BS683" s="5"/>
      <c r="BT683" s="5"/>
      <c r="BU683" s="5"/>
      <c r="BV683" s="5"/>
      <c r="BW683" s="5"/>
      <c r="BX683" s="5"/>
      <c r="BY683" s="5"/>
      <c r="BZ683" s="5"/>
      <c r="CA683" s="5"/>
      <c r="CB683" s="5"/>
      <c r="CC683" s="5"/>
      <c r="CD683" s="5"/>
      <c r="CE683" s="5"/>
      <c r="CF683" s="5"/>
      <c r="CG683" s="5"/>
      <c r="CH683" s="5"/>
      <c r="CI683" s="5"/>
    </row>
    <row r="684" ht="14.25" customHeight="1">
      <c r="B684" s="1"/>
      <c r="D684" s="1"/>
      <c r="E684" s="33"/>
      <c r="F684" s="34"/>
      <c r="G684" s="5"/>
      <c r="H684" s="5"/>
      <c r="I684" s="5"/>
      <c r="J684" s="5"/>
      <c r="K684" s="5"/>
      <c r="L684" s="5"/>
      <c r="M684" s="32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/>
      <c r="BF684" s="5"/>
      <c r="BG684" s="5"/>
      <c r="BH684" s="5"/>
      <c r="BI684" s="5"/>
      <c r="BJ684" s="5"/>
      <c r="BK684" s="5"/>
      <c r="BL684" s="5"/>
      <c r="BM684" s="5"/>
      <c r="BN684" s="5"/>
      <c r="BO684" s="5"/>
      <c r="BP684" s="5"/>
      <c r="BQ684" s="5"/>
      <c r="BR684" s="5"/>
      <c r="BS684" s="5"/>
      <c r="BT684" s="5"/>
      <c r="BU684" s="5"/>
      <c r="BV684" s="5"/>
      <c r="BW684" s="5"/>
      <c r="BX684" s="5"/>
      <c r="BY684" s="5"/>
      <c r="BZ684" s="5"/>
      <c r="CA684" s="5"/>
      <c r="CB684" s="5"/>
      <c r="CC684" s="5"/>
      <c r="CD684" s="5"/>
      <c r="CE684" s="5"/>
      <c r="CF684" s="5"/>
      <c r="CG684" s="5"/>
      <c r="CH684" s="5"/>
      <c r="CI684" s="5"/>
    </row>
    <row r="685" ht="14.25" customHeight="1">
      <c r="B685" s="1"/>
      <c r="D685" s="1"/>
      <c r="E685" s="33"/>
      <c r="F685" s="34"/>
      <c r="G685" s="5"/>
      <c r="H685" s="5"/>
      <c r="I685" s="5"/>
      <c r="J685" s="5"/>
      <c r="K685" s="5"/>
      <c r="L685" s="5"/>
      <c r="M685" s="32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/>
      <c r="BF685" s="5"/>
      <c r="BG685" s="5"/>
      <c r="BH685" s="5"/>
      <c r="BI685" s="5"/>
      <c r="BJ685" s="5"/>
      <c r="BK685" s="5"/>
      <c r="BL685" s="5"/>
      <c r="BM685" s="5"/>
      <c r="BN685" s="5"/>
      <c r="BO685" s="5"/>
      <c r="BP685" s="5"/>
      <c r="BQ685" s="5"/>
      <c r="BR685" s="5"/>
      <c r="BS685" s="5"/>
      <c r="BT685" s="5"/>
      <c r="BU685" s="5"/>
      <c r="BV685" s="5"/>
      <c r="BW685" s="5"/>
      <c r="BX685" s="5"/>
      <c r="BY685" s="5"/>
      <c r="BZ685" s="5"/>
      <c r="CA685" s="5"/>
      <c r="CB685" s="5"/>
      <c r="CC685" s="5"/>
      <c r="CD685" s="5"/>
      <c r="CE685" s="5"/>
      <c r="CF685" s="5"/>
      <c r="CG685" s="5"/>
      <c r="CH685" s="5"/>
      <c r="CI685" s="5"/>
    </row>
    <row r="686" ht="14.25" customHeight="1">
      <c r="B686" s="1"/>
      <c r="D686" s="1"/>
      <c r="E686" s="33"/>
      <c r="F686" s="34"/>
      <c r="G686" s="5"/>
      <c r="H686" s="5"/>
      <c r="I686" s="5"/>
      <c r="J686" s="5"/>
      <c r="K686" s="5"/>
      <c r="L686" s="5"/>
      <c r="M686" s="32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/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/>
      <c r="BF686" s="5"/>
      <c r="BG686" s="5"/>
      <c r="BH686" s="5"/>
      <c r="BI686" s="5"/>
      <c r="BJ686" s="5"/>
      <c r="BK686" s="5"/>
      <c r="BL686" s="5"/>
      <c r="BM686" s="5"/>
      <c r="BN686" s="5"/>
      <c r="BO686" s="5"/>
      <c r="BP686" s="5"/>
      <c r="BQ686" s="5"/>
      <c r="BR686" s="5"/>
      <c r="BS686" s="5"/>
      <c r="BT686" s="5"/>
      <c r="BU686" s="5"/>
      <c r="BV686" s="5"/>
      <c r="BW686" s="5"/>
      <c r="BX686" s="5"/>
      <c r="BY686" s="5"/>
      <c r="BZ686" s="5"/>
      <c r="CA686" s="5"/>
      <c r="CB686" s="5"/>
      <c r="CC686" s="5"/>
      <c r="CD686" s="5"/>
      <c r="CE686" s="5"/>
      <c r="CF686" s="5"/>
      <c r="CG686" s="5"/>
      <c r="CH686" s="5"/>
      <c r="CI686" s="5"/>
    </row>
    <row r="687" ht="14.25" customHeight="1">
      <c r="B687" s="1"/>
      <c r="D687" s="1"/>
      <c r="E687" s="33"/>
      <c r="F687" s="34"/>
      <c r="G687" s="5"/>
      <c r="H687" s="5"/>
      <c r="I687" s="5"/>
      <c r="J687" s="5"/>
      <c r="K687" s="5"/>
      <c r="L687" s="5"/>
      <c r="M687" s="32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/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/>
      <c r="BF687" s="5"/>
      <c r="BG687" s="5"/>
      <c r="BH687" s="5"/>
      <c r="BI687" s="5"/>
      <c r="BJ687" s="5"/>
      <c r="BK687" s="5"/>
      <c r="BL687" s="5"/>
      <c r="BM687" s="5"/>
      <c r="BN687" s="5"/>
      <c r="BO687" s="5"/>
      <c r="BP687" s="5"/>
      <c r="BQ687" s="5"/>
      <c r="BR687" s="5"/>
      <c r="BS687" s="5"/>
      <c r="BT687" s="5"/>
      <c r="BU687" s="5"/>
      <c r="BV687" s="5"/>
      <c r="BW687" s="5"/>
      <c r="BX687" s="5"/>
      <c r="BY687" s="5"/>
      <c r="BZ687" s="5"/>
      <c r="CA687" s="5"/>
      <c r="CB687" s="5"/>
      <c r="CC687" s="5"/>
      <c r="CD687" s="5"/>
      <c r="CE687" s="5"/>
      <c r="CF687" s="5"/>
      <c r="CG687" s="5"/>
      <c r="CH687" s="5"/>
      <c r="CI687" s="5"/>
    </row>
    <row r="688" ht="14.25" customHeight="1">
      <c r="B688" s="1"/>
      <c r="D688" s="1"/>
      <c r="E688" s="33"/>
      <c r="F688" s="34"/>
      <c r="G688" s="5"/>
      <c r="H688" s="5"/>
      <c r="I688" s="5"/>
      <c r="J688" s="5"/>
      <c r="K688" s="5"/>
      <c r="L688" s="5"/>
      <c r="M688" s="32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/>
      <c r="BF688" s="5"/>
      <c r="BG688" s="5"/>
      <c r="BH688" s="5"/>
      <c r="BI688" s="5"/>
      <c r="BJ688" s="5"/>
      <c r="BK688" s="5"/>
      <c r="BL688" s="5"/>
      <c r="BM688" s="5"/>
      <c r="BN688" s="5"/>
      <c r="BO688" s="5"/>
      <c r="BP688" s="5"/>
      <c r="BQ688" s="5"/>
      <c r="BR688" s="5"/>
      <c r="BS688" s="5"/>
      <c r="BT688" s="5"/>
      <c r="BU688" s="5"/>
      <c r="BV688" s="5"/>
      <c r="BW688" s="5"/>
      <c r="BX688" s="5"/>
      <c r="BY688" s="5"/>
      <c r="BZ688" s="5"/>
      <c r="CA688" s="5"/>
      <c r="CB688" s="5"/>
      <c r="CC688" s="5"/>
      <c r="CD688" s="5"/>
      <c r="CE688" s="5"/>
      <c r="CF688" s="5"/>
      <c r="CG688" s="5"/>
      <c r="CH688" s="5"/>
      <c r="CI688" s="5"/>
    </row>
    <row r="689" ht="14.25" customHeight="1">
      <c r="B689" s="1"/>
      <c r="D689" s="1"/>
      <c r="E689" s="33"/>
      <c r="F689" s="34"/>
      <c r="G689" s="5"/>
      <c r="H689" s="5"/>
      <c r="I689" s="5"/>
      <c r="J689" s="5"/>
      <c r="K689" s="5"/>
      <c r="L689" s="5"/>
      <c r="M689" s="32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/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/>
      <c r="BF689" s="5"/>
      <c r="BG689" s="5"/>
      <c r="BH689" s="5"/>
      <c r="BI689" s="5"/>
      <c r="BJ689" s="5"/>
      <c r="BK689" s="5"/>
      <c r="BL689" s="5"/>
      <c r="BM689" s="5"/>
      <c r="BN689" s="5"/>
      <c r="BO689" s="5"/>
      <c r="BP689" s="5"/>
      <c r="BQ689" s="5"/>
      <c r="BR689" s="5"/>
      <c r="BS689" s="5"/>
      <c r="BT689" s="5"/>
      <c r="BU689" s="5"/>
      <c r="BV689" s="5"/>
      <c r="BW689" s="5"/>
      <c r="BX689" s="5"/>
      <c r="BY689" s="5"/>
      <c r="BZ689" s="5"/>
      <c r="CA689" s="5"/>
      <c r="CB689" s="5"/>
      <c r="CC689" s="5"/>
      <c r="CD689" s="5"/>
      <c r="CE689" s="5"/>
      <c r="CF689" s="5"/>
      <c r="CG689" s="5"/>
      <c r="CH689" s="5"/>
      <c r="CI689" s="5"/>
    </row>
    <row r="690" ht="14.25" customHeight="1">
      <c r="B690" s="1"/>
      <c r="D690" s="1"/>
      <c r="E690" s="33"/>
      <c r="F690" s="34"/>
      <c r="G690" s="5"/>
      <c r="H690" s="5"/>
      <c r="I690" s="5"/>
      <c r="J690" s="5"/>
      <c r="K690" s="5"/>
      <c r="L690" s="5"/>
      <c r="M690" s="32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/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/>
      <c r="BF690" s="5"/>
      <c r="BG690" s="5"/>
      <c r="BH690" s="5"/>
      <c r="BI690" s="5"/>
      <c r="BJ690" s="5"/>
      <c r="BK690" s="5"/>
      <c r="BL690" s="5"/>
      <c r="BM690" s="5"/>
      <c r="BN690" s="5"/>
      <c r="BO690" s="5"/>
      <c r="BP690" s="5"/>
      <c r="BQ690" s="5"/>
      <c r="BR690" s="5"/>
      <c r="BS690" s="5"/>
      <c r="BT690" s="5"/>
      <c r="BU690" s="5"/>
      <c r="BV690" s="5"/>
      <c r="BW690" s="5"/>
      <c r="BX690" s="5"/>
      <c r="BY690" s="5"/>
      <c r="BZ690" s="5"/>
      <c r="CA690" s="5"/>
      <c r="CB690" s="5"/>
      <c r="CC690" s="5"/>
      <c r="CD690" s="5"/>
      <c r="CE690" s="5"/>
      <c r="CF690" s="5"/>
      <c r="CG690" s="5"/>
      <c r="CH690" s="5"/>
      <c r="CI690" s="5"/>
    </row>
    <row r="691" ht="14.25" customHeight="1">
      <c r="B691" s="1"/>
      <c r="D691" s="1"/>
      <c r="E691" s="33"/>
      <c r="F691" s="34"/>
      <c r="G691" s="5"/>
      <c r="H691" s="5"/>
      <c r="I691" s="5"/>
      <c r="J691" s="5"/>
      <c r="K691" s="5"/>
      <c r="L691" s="5"/>
      <c r="M691" s="32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/>
      <c r="BF691" s="5"/>
      <c r="BG691" s="5"/>
      <c r="BH691" s="5"/>
      <c r="BI691" s="5"/>
      <c r="BJ691" s="5"/>
      <c r="BK691" s="5"/>
      <c r="BL691" s="5"/>
      <c r="BM691" s="5"/>
      <c r="BN691" s="5"/>
      <c r="BO691" s="5"/>
      <c r="BP691" s="5"/>
      <c r="BQ691" s="5"/>
      <c r="BR691" s="5"/>
      <c r="BS691" s="5"/>
      <c r="BT691" s="5"/>
      <c r="BU691" s="5"/>
      <c r="BV691" s="5"/>
      <c r="BW691" s="5"/>
      <c r="BX691" s="5"/>
      <c r="BY691" s="5"/>
      <c r="BZ691" s="5"/>
      <c r="CA691" s="5"/>
      <c r="CB691" s="5"/>
      <c r="CC691" s="5"/>
      <c r="CD691" s="5"/>
      <c r="CE691" s="5"/>
      <c r="CF691" s="5"/>
      <c r="CG691" s="5"/>
      <c r="CH691" s="5"/>
      <c r="CI691" s="5"/>
    </row>
    <row r="692" ht="14.25" customHeight="1">
      <c r="B692" s="1"/>
      <c r="D692" s="1"/>
      <c r="E692" s="33"/>
      <c r="F692" s="34"/>
      <c r="G692" s="5"/>
      <c r="H692" s="5"/>
      <c r="I692" s="5"/>
      <c r="J692" s="5"/>
      <c r="K692" s="5"/>
      <c r="L692" s="5"/>
      <c r="M692" s="32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/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/>
      <c r="BF692" s="5"/>
      <c r="BG692" s="5"/>
      <c r="BH692" s="5"/>
      <c r="BI692" s="5"/>
      <c r="BJ692" s="5"/>
      <c r="BK692" s="5"/>
      <c r="BL692" s="5"/>
      <c r="BM692" s="5"/>
      <c r="BN692" s="5"/>
      <c r="BO692" s="5"/>
      <c r="BP692" s="5"/>
      <c r="BQ692" s="5"/>
      <c r="BR692" s="5"/>
      <c r="BS692" s="5"/>
      <c r="BT692" s="5"/>
      <c r="BU692" s="5"/>
      <c r="BV692" s="5"/>
      <c r="BW692" s="5"/>
      <c r="BX692" s="5"/>
      <c r="BY692" s="5"/>
      <c r="BZ692" s="5"/>
      <c r="CA692" s="5"/>
      <c r="CB692" s="5"/>
      <c r="CC692" s="5"/>
      <c r="CD692" s="5"/>
      <c r="CE692" s="5"/>
      <c r="CF692" s="5"/>
      <c r="CG692" s="5"/>
      <c r="CH692" s="5"/>
      <c r="CI692" s="5"/>
    </row>
    <row r="693" ht="14.25" customHeight="1">
      <c r="B693" s="1"/>
      <c r="D693" s="1"/>
      <c r="E693" s="33"/>
      <c r="F693" s="34"/>
      <c r="G693" s="5"/>
      <c r="H693" s="5"/>
      <c r="I693" s="5"/>
      <c r="J693" s="5"/>
      <c r="K693" s="5"/>
      <c r="L693" s="5"/>
      <c r="M693" s="32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/>
      <c r="BF693" s="5"/>
      <c r="BG693" s="5"/>
      <c r="BH693" s="5"/>
      <c r="BI693" s="5"/>
      <c r="BJ693" s="5"/>
      <c r="BK693" s="5"/>
      <c r="BL693" s="5"/>
      <c r="BM693" s="5"/>
      <c r="BN693" s="5"/>
      <c r="BO693" s="5"/>
      <c r="BP693" s="5"/>
      <c r="BQ693" s="5"/>
      <c r="BR693" s="5"/>
      <c r="BS693" s="5"/>
      <c r="BT693" s="5"/>
      <c r="BU693" s="5"/>
      <c r="BV693" s="5"/>
      <c r="BW693" s="5"/>
      <c r="BX693" s="5"/>
      <c r="BY693" s="5"/>
      <c r="BZ693" s="5"/>
      <c r="CA693" s="5"/>
      <c r="CB693" s="5"/>
      <c r="CC693" s="5"/>
      <c r="CD693" s="5"/>
      <c r="CE693" s="5"/>
      <c r="CF693" s="5"/>
      <c r="CG693" s="5"/>
      <c r="CH693" s="5"/>
      <c r="CI693" s="5"/>
    </row>
    <row r="694" ht="14.25" customHeight="1">
      <c r="B694" s="1"/>
      <c r="D694" s="1"/>
      <c r="E694" s="33"/>
      <c r="F694" s="34"/>
      <c r="G694" s="5"/>
      <c r="H694" s="5"/>
      <c r="I694" s="5"/>
      <c r="J694" s="5"/>
      <c r="K694" s="5"/>
      <c r="L694" s="5"/>
      <c r="M694" s="32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/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/>
      <c r="BF694" s="5"/>
      <c r="BG694" s="5"/>
      <c r="BH694" s="5"/>
      <c r="BI694" s="5"/>
      <c r="BJ694" s="5"/>
      <c r="BK694" s="5"/>
      <c r="BL694" s="5"/>
      <c r="BM694" s="5"/>
      <c r="BN694" s="5"/>
      <c r="BO694" s="5"/>
      <c r="BP694" s="5"/>
      <c r="BQ694" s="5"/>
      <c r="BR694" s="5"/>
      <c r="BS694" s="5"/>
      <c r="BT694" s="5"/>
      <c r="BU694" s="5"/>
      <c r="BV694" s="5"/>
      <c r="BW694" s="5"/>
      <c r="BX694" s="5"/>
      <c r="BY694" s="5"/>
      <c r="BZ694" s="5"/>
      <c r="CA694" s="5"/>
      <c r="CB694" s="5"/>
      <c r="CC694" s="5"/>
      <c r="CD694" s="5"/>
      <c r="CE694" s="5"/>
      <c r="CF694" s="5"/>
      <c r="CG694" s="5"/>
      <c r="CH694" s="5"/>
      <c r="CI694" s="5"/>
    </row>
    <row r="695" ht="14.25" customHeight="1">
      <c r="B695" s="1"/>
      <c r="D695" s="1"/>
      <c r="E695" s="33"/>
      <c r="F695" s="34"/>
      <c r="G695" s="5"/>
      <c r="H695" s="5"/>
      <c r="I695" s="5"/>
      <c r="J695" s="5"/>
      <c r="K695" s="5"/>
      <c r="L695" s="5"/>
      <c r="M695" s="32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/>
      <c r="BE695" s="5"/>
      <c r="BF695" s="5"/>
      <c r="BG695" s="5"/>
      <c r="BH695" s="5"/>
      <c r="BI695" s="5"/>
      <c r="BJ695" s="5"/>
      <c r="BK695" s="5"/>
      <c r="BL695" s="5"/>
      <c r="BM695" s="5"/>
      <c r="BN695" s="5"/>
      <c r="BO695" s="5"/>
      <c r="BP695" s="5"/>
      <c r="BQ695" s="5"/>
      <c r="BR695" s="5"/>
      <c r="BS695" s="5"/>
      <c r="BT695" s="5"/>
      <c r="BU695" s="5"/>
      <c r="BV695" s="5"/>
      <c r="BW695" s="5"/>
      <c r="BX695" s="5"/>
      <c r="BY695" s="5"/>
      <c r="BZ695" s="5"/>
      <c r="CA695" s="5"/>
      <c r="CB695" s="5"/>
      <c r="CC695" s="5"/>
      <c r="CD695" s="5"/>
      <c r="CE695" s="5"/>
      <c r="CF695" s="5"/>
      <c r="CG695" s="5"/>
      <c r="CH695" s="5"/>
      <c r="CI695" s="5"/>
    </row>
    <row r="696" ht="14.25" customHeight="1">
      <c r="B696" s="1"/>
      <c r="D696" s="1"/>
      <c r="E696" s="33"/>
      <c r="F696" s="34"/>
      <c r="G696" s="5"/>
      <c r="H696" s="5"/>
      <c r="I696" s="5"/>
      <c r="J696" s="5"/>
      <c r="K696" s="5"/>
      <c r="L696" s="5"/>
      <c r="M696" s="32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  <c r="AD696" s="5"/>
      <c r="AE696" s="5"/>
      <c r="AF696" s="5"/>
      <c r="AG696" s="5"/>
      <c r="AH696" s="5"/>
      <c r="AI696" s="5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/>
      <c r="BE696" s="5"/>
      <c r="BF696" s="5"/>
      <c r="BG696" s="5"/>
      <c r="BH696" s="5"/>
      <c r="BI696" s="5"/>
      <c r="BJ696" s="5"/>
      <c r="BK696" s="5"/>
      <c r="BL696" s="5"/>
      <c r="BM696" s="5"/>
      <c r="BN696" s="5"/>
      <c r="BO696" s="5"/>
      <c r="BP696" s="5"/>
      <c r="BQ696" s="5"/>
      <c r="BR696" s="5"/>
      <c r="BS696" s="5"/>
      <c r="BT696" s="5"/>
      <c r="BU696" s="5"/>
      <c r="BV696" s="5"/>
      <c r="BW696" s="5"/>
      <c r="BX696" s="5"/>
      <c r="BY696" s="5"/>
      <c r="BZ696" s="5"/>
      <c r="CA696" s="5"/>
      <c r="CB696" s="5"/>
      <c r="CC696" s="5"/>
      <c r="CD696" s="5"/>
      <c r="CE696" s="5"/>
      <c r="CF696" s="5"/>
      <c r="CG696" s="5"/>
      <c r="CH696" s="5"/>
      <c r="CI696" s="5"/>
    </row>
    <row r="697" ht="14.25" customHeight="1">
      <c r="B697" s="1"/>
      <c r="D697" s="1"/>
      <c r="E697" s="33"/>
      <c r="F697" s="34"/>
      <c r="G697" s="5"/>
      <c r="H697" s="5"/>
      <c r="I697" s="5"/>
      <c r="J697" s="5"/>
      <c r="K697" s="5"/>
      <c r="L697" s="5"/>
      <c r="M697" s="32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  <c r="AD697" s="5"/>
      <c r="AE697" s="5"/>
      <c r="AF697" s="5"/>
      <c r="AG697" s="5"/>
      <c r="AH697" s="5"/>
      <c r="AI697" s="5"/>
      <c r="AJ697" s="5"/>
      <c r="AK697" s="5"/>
      <c r="AL697" s="5"/>
      <c r="AM697" s="5"/>
      <c r="AN697" s="5"/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/>
      <c r="BE697" s="5"/>
      <c r="BF697" s="5"/>
      <c r="BG697" s="5"/>
      <c r="BH697" s="5"/>
      <c r="BI697" s="5"/>
      <c r="BJ697" s="5"/>
      <c r="BK697" s="5"/>
      <c r="BL697" s="5"/>
      <c r="BM697" s="5"/>
      <c r="BN697" s="5"/>
      <c r="BO697" s="5"/>
      <c r="BP697" s="5"/>
      <c r="BQ697" s="5"/>
      <c r="BR697" s="5"/>
      <c r="BS697" s="5"/>
      <c r="BT697" s="5"/>
      <c r="BU697" s="5"/>
      <c r="BV697" s="5"/>
      <c r="BW697" s="5"/>
      <c r="BX697" s="5"/>
      <c r="BY697" s="5"/>
      <c r="BZ697" s="5"/>
      <c r="CA697" s="5"/>
      <c r="CB697" s="5"/>
      <c r="CC697" s="5"/>
      <c r="CD697" s="5"/>
      <c r="CE697" s="5"/>
      <c r="CF697" s="5"/>
      <c r="CG697" s="5"/>
      <c r="CH697" s="5"/>
      <c r="CI697" s="5"/>
    </row>
    <row r="698" ht="14.25" customHeight="1">
      <c r="B698" s="1"/>
      <c r="D698" s="1"/>
      <c r="E698" s="33"/>
      <c r="F698" s="34"/>
      <c r="G698" s="5"/>
      <c r="H698" s="5"/>
      <c r="I698" s="5"/>
      <c r="J698" s="5"/>
      <c r="K698" s="5"/>
      <c r="L698" s="5"/>
      <c r="M698" s="32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  <c r="AD698" s="5"/>
      <c r="AE698" s="5"/>
      <c r="AF698" s="5"/>
      <c r="AG698" s="5"/>
      <c r="AH698" s="5"/>
      <c r="AI698" s="5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/>
      <c r="BE698" s="5"/>
      <c r="BF698" s="5"/>
      <c r="BG698" s="5"/>
      <c r="BH698" s="5"/>
      <c r="BI698" s="5"/>
      <c r="BJ698" s="5"/>
      <c r="BK698" s="5"/>
      <c r="BL698" s="5"/>
      <c r="BM698" s="5"/>
      <c r="BN698" s="5"/>
      <c r="BO698" s="5"/>
      <c r="BP698" s="5"/>
      <c r="BQ698" s="5"/>
      <c r="BR698" s="5"/>
      <c r="BS698" s="5"/>
      <c r="BT698" s="5"/>
      <c r="BU698" s="5"/>
      <c r="BV698" s="5"/>
      <c r="BW698" s="5"/>
      <c r="BX698" s="5"/>
      <c r="BY698" s="5"/>
      <c r="BZ698" s="5"/>
      <c r="CA698" s="5"/>
      <c r="CB698" s="5"/>
      <c r="CC698" s="5"/>
      <c r="CD698" s="5"/>
      <c r="CE698" s="5"/>
      <c r="CF698" s="5"/>
      <c r="CG698" s="5"/>
      <c r="CH698" s="5"/>
      <c r="CI698" s="5"/>
    </row>
    <row r="699" ht="14.25" customHeight="1">
      <c r="B699" s="1"/>
      <c r="D699" s="1"/>
      <c r="E699" s="33"/>
      <c r="F699" s="34"/>
      <c r="G699" s="5"/>
      <c r="H699" s="5"/>
      <c r="I699" s="5"/>
      <c r="J699" s="5"/>
      <c r="K699" s="5"/>
      <c r="L699" s="5"/>
      <c r="M699" s="32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  <c r="AD699" s="5"/>
      <c r="AE699" s="5"/>
      <c r="AF699" s="5"/>
      <c r="AG699" s="5"/>
      <c r="AH699" s="5"/>
      <c r="AI699" s="5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/>
      <c r="BE699" s="5"/>
      <c r="BF699" s="5"/>
      <c r="BG699" s="5"/>
      <c r="BH699" s="5"/>
      <c r="BI699" s="5"/>
      <c r="BJ699" s="5"/>
      <c r="BK699" s="5"/>
      <c r="BL699" s="5"/>
      <c r="BM699" s="5"/>
      <c r="BN699" s="5"/>
      <c r="BO699" s="5"/>
      <c r="BP699" s="5"/>
      <c r="BQ699" s="5"/>
      <c r="BR699" s="5"/>
      <c r="BS699" s="5"/>
      <c r="BT699" s="5"/>
      <c r="BU699" s="5"/>
      <c r="BV699" s="5"/>
      <c r="BW699" s="5"/>
      <c r="BX699" s="5"/>
      <c r="BY699" s="5"/>
      <c r="BZ699" s="5"/>
      <c r="CA699" s="5"/>
      <c r="CB699" s="5"/>
      <c r="CC699" s="5"/>
      <c r="CD699" s="5"/>
      <c r="CE699" s="5"/>
      <c r="CF699" s="5"/>
      <c r="CG699" s="5"/>
      <c r="CH699" s="5"/>
      <c r="CI699" s="5"/>
    </row>
    <row r="700" ht="14.25" customHeight="1">
      <c r="B700" s="1"/>
      <c r="D700" s="1"/>
      <c r="E700" s="33"/>
      <c r="F700" s="34"/>
      <c r="G700" s="5"/>
      <c r="H700" s="5"/>
      <c r="I700" s="5"/>
      <c r="J700" s="5"/>
      <c r="K700" s="5"/>
      <c r="L700" s="5"/>
      <c r="M700" s="32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  <c r="AD700" s="5"/>
      <c r="AE700" s="5"/>
      <c r="AF700" s="5"/>
      <c r="AG700" s="5"/>
      <c r="AH700" s="5"/>
      <c r="AI700" s="5"/>
      <c r="AJ700" s="5"/>
      <c r="AK700" s="5"/>
      <c r="AL700" s="5"/>
      <c r="AM700" s="5"/>
      <c r="AN700" s="5"/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/>
      <c r="BE700" s="5"/>
      <c r="BF700" s="5"/>
      <c r="BG700" s="5"/>
      <c r="BH700" s="5"/>
      <c r="BI700" s="5"/>
      <c r="BJ700" s="5"/>
      <c r="BK700" s="5"/>
      <c r="BL700" s="5"/>
      <c r="BM700" s="5"/>
      <c r="BN700" s="5"/>
      <c r="BO700" s="5"/>
      <c r="BP700" s="5"/>
      <c r="BQ700" s="5"/>
      <c r="BR700" s="5"/>
      <c r="BS700" s="5"/>
      <c r="BT700" s="5"/>
      <c r="BU700" s="5"/>
      <c r="BV700" s="5"/>
      <c r="BW700" s="5"/>
      <c r="BX700" s="5"/>
      <c r="BY700" s="5"/>
      <c r="BZ700" s="5"/>
      <c r="CA700" s="5"/>
      <c r="CB700" s="5"/>
      <c r="CC700" s="5"/>
      <c r="CD700" s="5"/>
      <c r="CE700" s="5"/>
      <c r="CF700" s="5"/>
      <c r="CG700" s="5"/>
      <c r="CH700" s="5"/>
      <c r="CI700" s="5"/>
    </row>
    <row r="701" ht="14.25" customHeight="1">
      <c r="B701" s="1"/>
      <c r="D701" s="1"/>
      <c r="E701" s="33"/>
      <c r="F701" s="34"/>
      <c r="G701" s="5"/>
      <c r="H701" s="5"/>
      <c r="I701" s="5"/>
      <c r="J701" s="5"/>
      <c r="K701" s="5"/>
      <c r="L701" s="5"/>
      <c r="M701" s="32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  <c r="AG701" s="5"/>
      <c r="AH701" s="5"/>
      <c r="AI701" s="5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Y701" s="5"/>
      <c r="AZ701" s="5"/>
      <c r="BA701" s="5"/>
      <c r="BB701" s="5"/>
      <c r="BC701" s="5"/>
      <c r="BD701" s="5"/>
      <c r="BE701" s="5"/>
      <c r="BF701" s="5"/>
      <c r="BG701" s="5"/>
      <c r="BH701" s="5"/>
      <c r="BI701" s="5"/>
      <c r="BJ701" s="5"/>
      <c r="BK701" s="5"/>
      <c r="BL701" s="5"/>
      <c r="BM701" s="5"/>
      <c r="BN701" s="5"/>
      <c r="BO701" s="5"/>
      <c r="BP701" s="5"/>
      <c r="BQ701" s="5"/>
      <c r="BR701" s="5"/>
      <c r="BS701" s="5"/>
      <c r="BT701" s="5"/>
      <c r="BU701" s="5"/>
      <c r="BV701" s="5"/>
      <c r="BW701" s="5"/>
      <c r="BX701" s="5"/>
      <c r="BY701" s="5"/>
      <c r="BZ701" s="5"/>
      <c r="CA701" s="5"/>
      <c r="CB701" s="5"/>
      <c r="CC701" s="5"/>
      <c r="CD701" s="5"/>
      <c r="CE701" s="5"/>
      <c r="CF701" s="5"/>
      <c r="CG701" s="5"/>
      <c r="CH701" s="5"/>
      <c r="CI701" s="5"/>
    </row>
    <row r="702" ht="14.25" customHeight="1">
      <c r="B702" s="1"/>
      <c r="D702" s="1"/>
      <c r="E702" s="33"/>
      <c r="F702" s="34"/>
      <c r="G702" s="5"/>
      <c r="H702" s="5"/>
      <c r="I702" s="5"/>
      <c r="J702" s="5"/>
      <c r="K702" s="5"/>
      <c r="L702" s="5"/>
      <c r="M702" s="32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  <c r="AE702" s="5"/>
      <c r="AF702" s="5"/>
      <c r="AG702" s="5"/>
      <c r="AH702" s="5"/>
      <c r="AI702" s="5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5"/>
      <c r="AW702" s="5"/>
      <c r="AX702" s="5"/>
      <c r="AY702" s="5"/>
      <c r="AZ702" s="5"/>
      <c r="BA702" s="5"/>
      <c r="BB702" s="5"/>
      <c r="BC702" s="5"/>
      <c r="BD702" s="5"/>
      <c r="BE702" s="5"/>
      <c r="BF702" s="5"/>
      <c r="BG702" s="5"/>
      <c r="BH702" s="5"/>
      <c r="BI702" s="5"/>
      <c r="BJ702" s="5"/>
      <c r="BK702" s="5"/>
      <c r="BL702" s="5"/>
      <c r="BM702" s="5"/>
      <c r="BN702" s="5"/>
      <c r="BO702" s="5"/>
      <c r="BP702" s="5"/>
      <c r="BQ702" s="5"/>
      <c r="BR702" s="5"/>
      <c r="BS702" s="5"/>
      <c r="BT702" s="5"/>
      <c r="BU702" s="5"/>
      <c r="BV702" s="5"/>
      <c r="BW702" s="5"/>
      <c r="BX702" s="5"/>
      <c r="BY702" s="5"/>
      <c r="BZ702" s="5"/>
      <c r="CA702" s="5"/>
      <c r="CB702" s="5"/>
      <c r="CC702" s="5"/>
      <c r="CD702" s="5"/>
      <c r="CE702" s="5"/>
      <c r="CF702" s="5"/>
      <c r="CG702" s="5"/>
      <c r="CH702" s="5"/>
      <c r="CI702" s="5"/>
    </row>
    <row r="703" ht="14.25" customHeight="1">
      <c r="B703" s="1"/>
      <c r="D703" s="1"/>
      <c r="E703" s="33"/>
      <c r="F703" s="34"/>
      <c r="G703" s="5"/>
      <c r="H703" s="5"/>
      <c r="I703" s="5"/>
      <c r="J703" s="5"/>
      <c r="K703" s="5"/>
      <c r="L703" s="5"/>
      <c r="M703" s="32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  <c r="AE703" s="5"/>
      <c r="AF703" s="5"/>
      <c r="AG703" s="5"/>
      <c r="AH703" s="5"/>
      <c r="AI703" s="5"/>
      <c r="AJ703" s="5"/>
      <c r="AK703" s="5"/>
      <c r="AL703" s="5"/>
      <c r="AM703" s="5"/>
      <c r="AN703" s="5"/>
      <c r="AO703" s="5"/>
      <c r="AP703" s="5"/>
      <c r="AQ703" s="5"/>
      <c r="AR703" s="5"/>
      <c r="AS703" s="5"/>
      <c r="AT703" s="5"/>
      <c r="AU703" s="5"/>
      <c r="AV703" s="5"/>
      <c r="AW703" s="5"/>
      <c r="AX703" s="5"/>
      <c r="AY703" s="5"/>
      <c r="AZ703" s="5"/>
      <c r="BA703" s="5"/>
      <c r="BB703" s="5"/>
      <c r="BC703" s="5"/>
      <c r="BD703" s="5"/>
      <c r="BE703" s="5"/>
      <c r="BF703" s="5"/>
      <c r="BG703" s="5"/>
      <c r="BH703" s="5"/>
      <c r="BI703" s="5"/>
      <c r="BJ703" s="5"/>
      <c r="BK703" s="5"/>
      <c r="BL703" s="5"/>
      <c r="BM703" s="5"/>
      <c r="BN703" s="5"/>
      <c r="BO703" s="5"/>
      <c r="BP703" s="5"/>
      <c r="BQ703" s="5"/>
      <c r="BR703" s="5"/>
      <c r="BS703" s="5"/>
      <c r="BT703" s="5"/>
      <c r="BU703" s="5"/>
      <c r="BV703" s="5"/>
      <c r="BW703" s="5"/>
      <c r="BX703" s="5"/>
      <c r="BY703" s="5"/>
      <c r="BZ703" s="5"/>
      <c r="CA703" s="5"/>
      <c r="CB703" s="5"/>
      <c r="CC703" s="5"/>
      <c r="CD703" s="5"/>
      <c r="CE703" s="5"/>
      <c r="CF703" s="5"/>
      <c r="CG703" s="5"/>
      <c r="CH703" s="5"/>
      <c r="CI703" s="5"/>
    </row>
    <row r="704" ht="14.25" customHeight="1">
      <c r="B704" s="1"/>
      <c r="D704" s="1"/>
      <c r="E704" s="33"/>
      <c r="F704" s="34"/>
      <c r="G704" s="5"/>
      <c r="H704" s="5"/>
      <c r="I704" s="5"/>
      <c r="J704" s="5"/>
      <c r="K704" s="5"/>
      <c r="L704" s="5"/>
      <c r="M704" s="32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  <c r="AE704" s="5"/>
      <c r="AF704" s="5"/>
      <c r="AG704" s="5"/>
      <c r="AH704" s="5"/>
      <c r="AI704" s="5"/>
      <c r="AJ704" s="5"/>
      <c r="AK704" s="5"/>
      <c r="AL704" s="5"/>
      <c r="AM704" s="5"/>
      <c r="AN704" s="5"/>
      <c r="AO704" s="5"/>
      <c r="AP704" s="5"/>
      <c r="AQ704" s="5"/>
      <c r="AR704" s="5"/>
      <c r="AS704" s="5"/>
      <c r="AT704" s="5"/>
      <c r="AU704" s="5"/>
      <c r="AV704" s="5"/>
      <c r="AW704" s="5"/>
      <c r="AX704" s="5"/>
      <c r="AY704" s="5"/>
      <c r="AZ704" s="5"/>
      <c r="BA704" s="5"/>
      <c r="BB704" s="5"/>
      <c r="BC704" s="5"/>
      <c r="BD704" s="5"/>
      <c r="BE704" s="5"/>
      <c r="BF704" s="5"/>
      <c r="BG704" s="5"/>
      <c r="BH704" s="5"/>
      <c r="BI704" s="5"/>
      <c r="BJ704" s="5"/>
      <c r="BK704" s="5"/>
      <c r="BL704" s="5"/>
      <c r="BM704" s="5"/>
      <c r="BN704" s="5"/>
      <c r="BO704" s="5"/>
      <c r="BP704" s="5"/>
      <c r="BQ704" s="5"/>
      <c r="BR704" s="5"/>
      <c r="BS704" s="5"/>
      <c r="BT704" s="5"/>
      <c r="BU704" s="5"/>
      <c r="BV704" s="5"/>
      <c r="BW704" s="5"/>
      <c r="BX704" s="5"/>
      <c r="BY704" s="5"/>
      <c r="BZ704" s="5"/>
      <c r="CA704" s="5"/>
      <c r="CB704" s="5"/>
      <c r="CC704" s="5"/>
      <c r="CD704" s="5"/>
      <c r="CE704" s="5"/>
      <c r="CF704" s="5"/>
      <c r="CG704" s="5"/>
      <c r="CH704" s="5"/>
      <c r="CI704" s="5"/>
    </row>
    <row r="705" ht="14.25" customHeight="1">
      <c r="B705" s="1"/>
      <c r="D705" s="1"/>
      <c r="E705" s="33"/>
      <c r="F705" s="34"/>
      <c r="G705" s="5"/>
      <c r="H705" s="5"/>
      <c r="I705" s="5"/>
      <c r="J705" s="5"/>
      <c r="K705" s="5"/>
      <c r="L705" s="5"/>
      <c r="M705" s="32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  <c r="AG705" s="5"/>
      <c r="AH705" s="5"/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5"/>
      <c r="AW705" s="5"/>
      <c r="AX705" s="5"/>
      <c r="AY705" s="5"/>
      <c r="AZ705" s="5"/>
      <c r="BA705" s="5"/>
      <c r="BB705" s="5"/>
      <c r="BC705" s="5"/>
      <c r="BD705" s="5"/>
      <c r="BE705" s="5"/>
      <c r="BF705" s="5"/>
      <c r="BG705" s="5"/>
      <c r="BH705" s="5"/>
      <c r="BI705" s="5"/>
      <c r="BJ705" s="5"/>
      <c r="BK705" s="5"/>
      <c r="BL705" s="5"/>
      <c r="BM705" s="5"/>
      <c r="BN705" s="5"/>
      <c r="BO705" s="5"/>
      <c r="BP705" s="5"/>
      <c r="BQ705" s="5"/>
      <c r="BR705" s="5"/>
      <c r="BS705" s="5"/>
      <c r="BT705" s="5"/>
      <c r="BU705" s="5"/>
      <c r="BV705" s="5"/>
      <c r="BW705" s="5"/>
      <c r="BX705" s="5"/>
      <c r="BY705" s="5"/>
      <c r="BZ705" s="5"/>
      <c r="CA705" s="5"/>
      <c r="CB705" s="5"/>
      <c r="CC705" s="5"/>
      <c r="CD705" s="5"/>
      <c r="CE705" s="5"/>
      <c r="CF705" s="5"/>
      <c r="CG705" s="5"/>
      <c r="CH705" s="5"/>
      <c r="CI705" s="5"/>
    </row>
    <row r="706" ht="14.25" customHeight="1">
      <c r="B706" s="1"/>
      <c r="D706" s="1"/>
      <c r="E706" s="33"/>
      <c r="F706" s="34"/>
      <c r="G706" s="5"/>
      <c r="H706" s="5"/>
      <c r="I706" s="5"/>
      <c r="J706" s="5"/>
      <c r="K706" s="5"/>
      <c r="L706" s="5"/>
      <c r="M706" s="32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5"/>
      <c r="AH706" s="5"/>
      <c r="AI706" s="5"/>
      <c r="AJ706" s="5"/>
      <c r="AK706" s="5"/>
      <c r="AL706" s="5"/>
      <c r="AM706" s="5"/>
      <c r="AN706" s="5"/>
      <c r="AO706" s="5"/>
      <c r="AP706" s="5"/>
      <c r="AQ706" s="5"/>
      <c r="AR706" s="5"/>
      <c r="AS706" s="5"/>
      <c r="AT706" s="5"/>
      <c r="AU706" s="5"/>
      <c r="AV706" s="5"/>
      <c r="AW706" s="5"/>
      <c r="AX706" s="5"/>
      <c r="AY706" s="5"/>
      <c r="AZ706" s="5"/>
      <c r="BA706" s="5"/>
      <c r="BB706" s="5"/>
      <c r="BC706" s="5"/>
      <c r="BD706" s="5"/>
      <c r="BE706" s="5"/>
      <c r="BF706" s="5"/>
      <c r="BG706" s="5"/>
      <c r="BH706" s="5"/>
      <c r="BI706" s="5"/>
      <c r="BJ706" s="5"/>
      <c r="BK706" s="5"/>
      <c r="BL706" s="5"/>
      <c r="BM706" s="5"/>
      <c r="BN706" s="5"/>
      <c r="BO706" s="5"/>
      <c r="BP706" s="5"/>
      <c r="BQ706" s="5"/>
      <c r="BR706" s="5"/>
      <c r="BS706" s="5"/>
      <c r="BT706" s="5"/>
      <c r="BU706" s="5"/>
      <c r="BV706" s="5"/>
      <c r="BW706" s="5"/>
      <c r="BX706" s="5"/>
      <c r="BY706" s="5"/>
      <c r="BZ706" s="5"/>
      <c r="CA706" s="5"/>
      <c r="CB706" s="5"/>
      <c r="CC706" s="5"/>
      <c r="CD706" s="5"/>
      <c r="CE706" s="5"/>
      <c r="CF706" s="5"/>
      <c r="CG706" s="5"/>
      <c r="CH706" s="5"/>
      <c r="CI706" s="5"/>
    </row>
    <row r="707" ht="14.25" customHeight="1">
      <c r="B707" s="1"/>
      <c r="D707" s="1"/>
      <c r="E707" s="33"/>
      <c r="F707" s="34"/>
      <c r="G707" s="5"/>
      <c r="H707" s="5"/>
      <c r="I707" s="5"/>
      <c r="J707" s="5"/>
      <c r="K707" s="5"/>
      <c r="L707" s="5"/>
      <c r="M707" s="32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  <c r="AE707" s="5"/>
      <c r="AF707" s="5"/>
      <c r="AG707" s="5"/>
      <c r="AH707" s="5"/>
      <c r="AI707" s="5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  <c r="AV707" s="5"/>
      <c r="AW707" s="5"/>
      <c r="AX707" s="5"/>
      <c r="AY707" s="5"/>
      <c r="AZ707" s="5"/>
      <c r="BA707" s="5"/>
      <c r="BB707" s="5"/>
      <c r="BC707" s="5"/>
      <c r="BD707" s="5"/>
      <c r="BE707" s="5"/>
      <c r="BF707" s="5"/>
      <c r="BG707" s="5"/>
      <c r="BH707" s="5"/>
      <c r="BI707" s="5"/>
      <c r="BJ707" s="5"/>
      <c r="BK707" s="5"/>
      <c r="BL707" s="5"/>
      <c r="BM707" s="5"/>
      <c r="BN707" s="5"/>
      <c r="BO707" s="5"/>
      <c r="BP707" s="5"/>
      <c r="BQ707" s="5"/>
      <c r="BR707" s="5"/>
      <c r="BS707" s="5"/>
      <c r="BT707" s="5"/>
      <c r="BU707" s="5"/>
      <c r="BV707" s="5"/>
      <c r="BW707" s="5"/>
      <c r="BX707" s="5"/>
      <c r="BY707" s="5"/>
      <c r="BZ707" s="5"/>
      <c r="CA707" s="5"/>
      <c r="CB707" s="5"/>
      <c r="CC707" s="5"/>
      <c r="CD707" s="5"/>
      <c r="CE707" s="5"/>
      <c r="CF707" s="5"/>
      <c r="CG707" s="5"/>
      <c r="CH707" s="5"/>
      <c r="CI707" s="5"/>
    </row>
    <row r="708" ht="14.25" customHeight="1">
      <c r="B708" s="1"/>
      <c r="D708" s="1"/>
      <c r="E708" s="33"/>
      <c r="F708" s="34"/>
      <c r="G708" s="5"/>
      <c r="H708" s="5"/>
      <c r="I708" s="5"/>
      <c r="J708" s="5"/>
      <c r="K708" s="5"/>
      <c r="L708" s="5"/>
      <c r="M708" s="32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  <c r="AE708" s="5"/>
      <c r="AF708" s="5"/>
      <c r="AG708" s="5"/>
      <c r="AH708" s="5"/>
      <c r="AI708" s="5"/>
      <c r="AJ708" s="5"/>
      <c r="AK708" s="5"/>
      <c r="AL708" s="5"/>
      <c r="AM708" s="5"/>
      <c r="AN708" s="5"/>
      <c r="AO708" s="5"/>
      <c r="AP708" s="5"/>
      <c r="AQ708" s="5"/>
      <c r="AR708" s="5"/>
      <c r="AS708" s="5"/>
      <c r="AT708" s="5"/>
      <c r="AU708" s="5"/>
      <c r="AV708" s="5"/>
      <c r="AW708" s="5"/>
      <c r="AX708" s="5"/>
      <c r="AY708" s="5"/>
      <c r="AZ708" s="5"/>
      <c r="BA708" s="5"/>
      <c r="BB708" s="5"/>
      <c r="BC708" s="5"/>
      <c r="BD708" s="5"/>
      <c r="BE708" s="5"/>
      <c r="BF708" s="5"/>
      <c r="BG708" s="5"/>
      <c r="BH708" s="5"/>
      <c r="BI708" s="5"/>
      <c r="BJ708" s="5"/>
      <c r="BK708" s="5"/>
      <c r="BL708" s="5"/>
      <c r="BM708" s="5"/>
      <c r="BN708" s="5"/>
      <c r="BO708" s="5"/>
      <c r="BP708" s="5"/>
      <c r="BQ708" s="5"/>
      <c r="BR708" s="5"/>
      <c r="BS708" s="5"/>
      <c r="BT708" s="5"/>
      <c r="BU708" s="5"/>
      <c r="BV708" s="5"/>
      <c r="BW708" s="5"/>
      <c r="BX708" s="5"/>
      <c r="BY708" s="5"/>
      <c r="BZ708" s="5"/>
      <c r="CA708" s="5"/>
      <c r="CB708" s="5"/>
      <c r="CC708" s="5"/>
      <c r="CD708" s="5"/>
      <c r="CE708" s="5"/>
      <c r="CF708" s="5"/>
      <c r="CG708" s="5"/>
      <c r="CH708" s="5"/>
      <c r="CI708" s="5"/>
    </row>
    <row r="709" ht="14.25" customHeight="1">
      <c r="B709" s="1"/>
      <c r="D709" s="1"/>
      <c r="E709" s="33"/>
      <c r="F709" s="34"/>
      <c r="G709" s="5"/>
      <c r="H709" s="5"/>
      <c r="I709" s="5"/>
      <c r="J709" s="5"/>
      <c r="K709" s="5"/>
      <c r="L709" s="5"/>
      <c r="M709" s="32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  <c r="AG709" s="5"/>
      <c r="AH709" s="5"/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5"/>
      <c r="AW709" s="5"/>
      <c r="AX709" s="5"/>
      <c r="AY709" s="5"/>
      <c r="AZ709" s="5"/>
      <c r="BA709" s="5"/>
      <c r="BB709" s="5"/>
      <c r="BC709" s="5"/>
      <c r="BD709" s="5"/>
      <c r="BE709" s="5"/>
      <c r="BF709" s="5"/>
      <c r="BG709" s="5"/>
      <c r="BH709" s="5"/>
      <c r="BI709" s="5"/>
      <c r="BJ709" s="5"/>
      <c r="BK709" s="5"/>
      <c r="BL709" s="5"/>
      <c r="BM709" s="5"/>
      <c r="BN709" s="5"/>
      <c r="BO709" s="5"/>
      <c r="BP709" s="5"/>
      <c r="BQ709" s="5"/>
      <c r="BR709" s="5"/>
      <c r="BS709" s="5"/>
      <c r="BT709" s="5"/>
      <c r="BU709" s="5"/>
      <c r="BV709" s="5"/>
      <c r="BW709" s="5"/>
      <c r="BX709" s="5"/>
      <c r="BY709" s="5"/>
      <c r="BZ709" s="5"/>
      <c r="CA709" s="5"/>
      <c r="CB709" s="5"/>
      <c r="CC709" s="5"/>
      <c r="CD709" s="5"/>
      <c r="CE709" s="5"/>
      <c r="CF709" s="5"/>
      <c r="CG709" s="5"/>
      <c r="CH709" s="5"/>
      <c r="CI709" s="5"/>
    </row>
    <row r="710" ht="14.25" customHeight="1">
      <c r="B710" s="1"/>
      <c r="D710" s="1"/>
      <c r="E710" s="33"/>
      <c r="F710" s="34"/>
      <c r="G710" s="5"/>
      <c r="H710" s="5"/>
      <c r="I710" s="5"/>
      <c r="J710" s="5"/>
      <c r="K710" s="5"/>
      <c r="L710" s="5"/>
      <c r="M710" s="32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  <c r="AE710" s="5"/>
      <c r="AF710" s="5"/>
      <c r="AG710" s="5"/>
      <c r="AH710" s="5"/>
      <c r="AI710" s="5"/>
      <c r="AJ710" s="5"/>
      <c r="AK710" s="5"/>
      <c r="AL710" s="5"/>
      <c r="AM710" s="5"/>
      <c r="AN710" s="5"/>
      <c r="AO710" s="5"/>
      <c r="AP710" s="5"/>
      <c r="AQ710" s="5"/>
      <c r="AR710" s="5"/>
      <c r="AS710" s="5"/>
      <c r="AT710" s="5"/>
      <c r="AU710" s="5"/>
      <c r="AV710" s="5"/>
      <c r="AW710" s="5"/>
      <c r="AX710" s="5"/>
      <c r="AY710" s="5"/>
      <c r="AZ710" s="5"/>
      <c r="BA710" s="5"/>
      <c r="BB710" s="5"/>
      <c r="BC710" s="5"/>
      <c r="BD710" s="5"/>
      <c r="BE710" s="5"/>
      <c r="BF710" s="5"/>
      <c r="BG710" s="5"/>
      <c r="BH710" s="5"/>
      <c r="BI710" s="5"/>
      <c r="BJ710" s="5"/>
      <c r="BK710" s="5"/>
      <c r="BL710" s="5"/>
      <c r="BM710" s="5"/>
      <c r="BN710" s="5"/>
      <c r="BO710" s="5"/>
      <c r="BP710" s="5"/>
      <c r="BQ710" s="5"/>
      <c r="BR710" s="5"/>
      <c r="BS710" s="5"/>
      <c r="BT710" s="5"/>
      <c r="BU710" s="5"/>
      <c r="BV710" s="5"/>
      <c r="BW710" s="5"/>
      <c r="BX710" s="5"/>
      <c r="BY710" s="5"/>
      <c r="BZ710" s="5"/>
      <c r="CA710" s="5"/>
      <c r="CB710" s="5"/>
      <c r="CC710" s="5"/>
      <c r="CD710" s="5"/>
      <c r="CE710" s="5"/>
      <c r="CF710" s="5"/>
      <c r="CG710" s="5"/>
      <c r="CH710" s="5"/>
      <c r="CI710" s="5"/>
    </row>
    <row r="711" ht="14.25" customHeight="1">
      <c r="B711" s="1"/>
      <c r="D711" s="1"/>
      <c r="E711" s="33"/>
      <c r="F711" s="34"/>
      <c r="G711" s="5"/>
      <c r="H711" s="5"/>
      <c r="I711" s="5"/>
      <c r="J711" s="5"/>
      <c r="K711" s="5"/>
      <c r="L711" s="5"/>
      <c r="M711" s="32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  <c r="AE711" s="5"/>
      <c r="AF711" s="5"/>
      <c r="AG711" s="5"/>
      <c r="AH711" s="5"/>
      <c r="AI711" s="5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  <c r="AV711" s="5"/>
      <c r="AW711" s="5"/>
      <c r="AX711" s="5"/>
      <c r="AY711" s="5"/>
      <c r="AZ711" s="5"/>
      <c r="BA711" s="5"/>
      <c r="BB711" s="5"/>
      <c r="BC711" s="5"/>
      <c r="BD711" s="5"/>
      <c r="BE711" s="5"/>
      <c r="BF711" s="5"/>
      <c r="BG711" s="5"/>
      <c r="BH711" s="5"/>
      <c r="BI711" s="5"/>
      <c r="BJ711" s="5"/>
      <c r="BK711" s="5"/>
      <c r="BL711" s="5"/>
      <c r="BM711" s="5"/>
      <c r="BN711" s="5"/>
      <c r="BO711" s="5"/>
      <c r="BP711" s="5"/>
      <c r="BQ711" s="5"/>
      <c r="BR711" s="5"/>
      <c r="BS711" s="5"/>
      <c r="BT711" s="5"/>
      <c r="BU711" s="5"/>
      <c r="BV711" s="5"/>
      <c r="BW711" s="5"/>
      <c r="BX711" s="5"/>
      <c r="BY711" s="5"/>
      <c r="BZ711" s="5"/>
      <c r="CA711" s="5"/>
      <c r="CB711" s="5"/>
      <c r="CC711" s="5"/>
      <c r="CD711" s="5"/>
      <c r="CE711" s="5"/>
      <c r="CF711" s="5"/>
      <c r="CG711" s="5"/>
      <c r="CH711" s="5"/>
      <c r="CI711" s="5"/>
    </row>
    <row r="712" ht="14.25" customHeight="1">
      <c r="B712" s="1"/>
      <c r="D712" s="1"/>
      <c r="E712" s="33"/>
      <c r="F712" s="34"/>
      <c r="G712" s="5"/>
      <c r="H712" s="5"/>
      <c r="I712" s="5"/>
      <c r="J712" s="5"/>
      <c r="K712" s="5"/>
      <c r="L712" s="5"/>
      <c r="M712" s="32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  <c r="AG712" s="5"/>
      <c r="AH712" s="5"/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5"/>
      <c r="AW712" s="5"/>
      <c r="AX712" s="5"/>
      <c r="AY712" s="5"/>
      <c r="AZ712" s="5"/>
      <c r="BA712" s="5"/>
      <c r="BB712" s="5"/>
      <c r="BC712" s="5"/>
      <c r="BD712" s="5"/>
      <c r="BE712" s="5"/>
      <c r="BF712" s="5"/>
      <c r="BG712" s="5"/>
      <c r="BH712" s="5"/>
      <c r="BI712" s="5"/>
      <c r="BJ712" s="5"/>
      <c r="BK712" s="5"/>
      <c r="BL712" s="5"/>
      <c r="BM712" s="5"/>
      <c r="BN712" s="5"/>
      <c r="BO712" s="5"/>
      <c r="BP712" s="5"/>
      <c r="BQ712" s="5"/>
      <c r="BR712" s="5"/>
      <c r="BS712" s="5"/>
      <c r="BT712" s="5"/>
      <c r="BU712" s="5"/>
      <c r="BV712" s="5"/>
      <c r="BW712" s="5"/>
      <c r="BX712" s="5"/>
      <c r="BY712" s="5"/>
      <c r="BZ712" s="5"/>
      <c r="CA712" s="5"/>
      <c r="CB712" s="5"/>
      <c r="CC712" s="5"/>
      <c r="CD712" s="5"/>
      <c r="CE712" s="5"/>
      <c r="CF712" s="5"/>
      <c r="CG712" s="5"/>
      <c r="CH712" s="5"/>
      <c r="CI712" s="5"/>
    </row>
    <row r="713" ht="14.25" customHeight="1">
      <c r="B713" s="1"/>
      <c r="D713" s="1"/>
      <c r="E713" s="33"/>
      <c r="F713" s="34"/>
      <c r="G713" s="5"/>
      <c r="H713" s="5"/>
      <c r="I713" s="5"/>
      <c r="J713" s="5"/>
      <c r="K713" s="5"/>
      <c r="L713" s="5"/>
      <c r="M713" s="32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  <c r="AE713" s="5"/>
      <c r="AF713" s="5"/>
      <c r="AG713" s="5"/>
      <c r="AH713" s="5"/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5"/>
      <c r="AW713" s="5"/>
      <c r="AX713" s="5"/>
      <c r="AY713" s="5"/>
      <c r="AZ713" s="5"/>
      <c r="BA713" s="5"/>
      <c r="BB713" s="5"/>
      <c r="BC713" s="5"/>
      <c r="BD713" s="5"/>
      <c r="BE713" s="5"/>
      <c r="BF713" s="5"/>
      <c r="BG713" s="5"/>
      <c r="BH713" s="5"/>
      <c r="BI713" s="5"/>
      <c r="BJ713" s="5"/>
      <c r="BK713" s="5"/>
      <c r="BL713" s="5"/>
      <c r="BM713" s="5"/>
      <c r="BN713" s="5"/>
      <c r="BO713" s="5"/>
      <c r="BP713" s="5"/>
      <c r="BQ713" s="5"/>
      <c r="BR713" s="5"/>
      <c r="BS713" s="5"/>
      <c r="BT713" s="5"/>
      <c r="BU713" s="5"/>
      <c r="BV713" s="5"/>
      <c r="BW713" s="5"/>
      <c r="BX713" s="5"/>
      <c r="BY713" s="5"/>
      <c r="BZ713" s="5"/>
      <c r="CA713" s="5"/>
      <c r="CB713" s="5"/>
      <c r="CC713" s="5"/>
      <c r="CD713" s="5"/>
      <c r="CE713" s="5"/>
      <c r="CF713" s="5"/>
      <c r="CG713" s="5"/>
      <c r="CH713" s="5"/>
      <c r="CI713" s="5"/>
    </row>
    <row r="714" ht="14.25" customHeight="1">
      <c r="B714" s="1"/>
      <c r="D714" s="1"/>
      <c r="E714" s="33"/>
      <c r="F714" s="34"/>
      <c r="G714" s="5"/>
      <c r="H714" s="5"/>
      <c r="I714" s="5"/>
      <c r="J714" s="5"/>
      <c r="K714" s="5"/>
      <c r="L714" s="5"/>
      <c r="M714" s="32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  <c r="AE714" s="5"/>
      <c r="AF714" s="5"/>
      <c r="AG714" s="5"/>
      <c r="AH714" s="5"/>
      <c r="AI714" s="5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  <c r="AV714" s="5"/>
      <c r="AW714" s="5"/>
      <c r="AX714" s="5"/>
      <c r="AY714" s="5"/>
      <c r="AZ714" s="5"/>
      <c r="BA714" s="5"/>
      <c r="BB714" s="5"/>
      <c r="BC714" s="5"/>
      <c r="BD714" s="5"/>
      <c r="BE714" s="5"/>
      <c r="BF714" s="5"/>
      <c r="BG714" s="5"/>
      <c r="BH714" s="5"/>
      <c r="BI714" s="5"/>
      <c r="BJ714" s="5"/>
      <c r="BK714" s="5"/>
      <c r="BL714" s="5"/>
      <c r="BM714" s="5"/>
      <c r="BN714" s="5"/>
      <c r="BO714" s="5"/>
      <c r="BP714" s="5"/>
      <c r="BQ714" s="5"/>
      <c r="BR714" s="5"/>
      <c r="BS714" s="5"/>
      <c r="BT714" s="5"/>
      <c r="BU714" s="5"/>
      <c r="BV714" s="5"/>
      <c r="BW714" s="5"/>
      <c r="BX714" s="5"/>
      <c r="BY714" s="5"/>
      <c r="BZ714" s="5"/>
      <c r="CA714" s="5"/>
      <c r="CB714" s="5"/>
      <c r="CC714" s="5"/>
      <c r="CD714" s="5"/>
      <c r="CE714" s="5"/>
      <c r="CF714" s="5"/>
      <c r="CG714" s="5"/>
      <c r="CH714" s="5"/>
      <c r="CI714" s="5"/>
    </row>
    <row r="715" ht="14.25" customHeight="1">
      <c r="B715" s="1"/>
      <c r="D715" s="1"/>
      <c r="E715" s="33"/>
      <c r="F715" s="34"/>
      <c r="G715" s="5"/>
      <c r="H715" s="5"/>
      <c r="I715" s="5"/>
      <c r="J715" s="5"/>
      <c r="K715" s="5"/>
      <c r="L715" s="5"/>
      <c r="M715" s="32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  <c r="AE715" s="5"/>
      <c r="AF715" s="5"/>
      <c r="AG715" s="5"/>
      <c r="AH715" s="5"/>
      <c r="AI715" s="5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  <c r="AV715" s="5"/>
      <c r="AW715" s="5"/>
      <c r="AX715" s="5"/>
      <c r="AY715" s="5"/>
      <c r="AZ715" s="5"/>
      <c r="BA715" s="5"/>
      <c r="BB715" s="5"/>
      <c r="BC715" s="5"/>
      <c r="BD715" s="5"/>
      <c r="BE715" s="5"/>
      <c r="BF715" s="5"/>
      <c r="BG715" s="5"/>
      <c r="BH715" s="5"/>
      <c r="BI715" s="5"/>
      <c r="BJ715" s="5"/>
      <c r="BK715" s="5"/>
      <c r="BL715" s="5"/>
      <c r="BM715" s="5"/>
      <c r="BN715" s="5"/>
      <c r="BO715" s="5"/>
      <c r="BP715" s="5"/>
      <c r="BQ715" s="5"/>
      <c r="BR715" s="5"/>
      <c r="BS715" s="5"/>
      <c r="BT715" s="5"/>
      <c r="BU715" s="5"/>
      <c r="BV715" s="5"/>
      <c r="BW715" s="5"/>
      <c r="BX715" s="5"/>
      <c r="BY715" s="5"/>
      <c r="BZ715" s="5"/>
      <c r="CA715" s="5"/>
      <c r="CB715" s="5"/>
      <c r="CC715" s="5"/>
      <c r="CD715" s="5"/>
      <c r="CE715" s="5"/>
      <c r="CF715" s="5"/>
      <c r="CG715" s="5"/>
      <c r="CH715" s="5"/>
      <c r="CI715" s="5"/>
    </row>
    <row r="716" ht="14.25" customHeight="1">
      <c r="B716" s="1"/>
      <c r="D716" s="1"/>
      <c r="E716" s="33"/>
      <c r="F716" s="34"/>
      <c r="G716" s="5"/>
      <c r="H716" s="5"/>
      <c r="I716" s="5"/>
      <c r="J716" s="5"/>
      <c r="K716" s="5"/>
      <c r="L716" s="5"/>
      <c r="M716" s="32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  <c r="AE716" s="5"/>
      <c r="AF716" s="5"/>
      <c r="AG716" s="5"/>
      <c r="AH716" s="5"/>
      <c r="AI716" s="5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  <c r="AV716" s="5"/>
      <c r="AW716" s="5"/>
      <c r="AX716" s="5"/>
      <c r="AY716" s="5"/>
      <c r="AZ716" s="5"/>
      <c r="BA716" s="5"/>
      <c r="BB716" s="5"/>
      <c r="BC716" s="5"/>
      <c r="BD716" s="5"/>
      <c r="BE716" s="5"/>
      <c r="BF716" s="5"/>
      <c r="BG716" s="5"/>
      <c r="BH716" s="5"/>
      <c r="BI716" s="5"/>
      <c r="BJ716" s="5"/>
      <c r="BK716" s="5"/>
      <c r="BL716" s="5"/>
      <c r="BM716" s="5"/>
      <c r="BN716" s="5"/>
      <c r="BO716" s="5"/>
      <c r="BP716" s="5"/>
      <c r="BQ716" s="5"/>
      <c r="BR716" s="5"/>
      <c r="BS716" s="5"/>
      <c r="BT716" s="5"/>
      <c r="BU716" s="5"/>
      <c r="BV716" s="5"/>
      <c r="BW716" s="5"/>
      <c r="BX716" s="5"/>
      <c r="BY716" s="5"/>
      <c r="BZ716" s="5"/>
      <c r="CA716" s="5"/>
      <c r="CB716" s="5"/>
      <c r="CC716" s="5"/>
      <c r="CD716" s="5"/>
      <c r="CE716" s="5"/>
      <c r="CF716" s="5"/>
      <c r="CG716" s="5"/>
      <c r="CH716" s="5"/>
      <c r="CI716" s="5"/>
    </row>
    <row r="717" ht="14.25" customHeight="1">
      <c r="B717" s="1"/>
      <c r="D717" s="1"/>
      <c r="E717" s="33"/>
      <c r="F717" s="34"/>
      <c r="G717" s="5"/>
      <c r="H717" s="5"/>
      <c r="I717" s="5"/>
      <c r="J717" s="5"/>
      <c r="K717" s="5"/>
      <c r="L717" s="5"/>
      <c r="M717" s="32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  <c r="AE717" s="5"/>
      <c r="AF717" s="5"/>
      <c r="AG717" s="5"/>
      <c r="AH717" s="5"/>
      <c r="AI717" s="5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  <c r="AV717" s="5"/>
      <c r="AW717" s="5"/>
      <c r="AX717" s="5"/>
      <c r="AY717" s="5"/>
      <c r="AZ717" s="5"/>
      <c r="BA717" s="5"/>
      <c r="BB717" s="5"/>
      <c r="BC717" s="5"/>
      <c r="BD717" s="5"/>
      <c r="BE717" s="5"/>
      <c r="BF717" s="5"/>
      <c r="BG717" s="5"/>
      <c r="BH717" s="5"/>
      <c r="BI717" s="5"/>
      <c r="BJ717" s="5"/>
      <c r="BK717" s="5"/>
      <c r="BL717" s="5"/>
      <c r="BM717" s="5"/>
      <c r="BN717" s="5"/>
      <c r="BO717" s="5"/>
      <c r="BP717" s="5"/>
      <c r="BQ717" s="5"/>
      <c r="BR717" s="5"/>
      <c r="BS717" s="5"/>
      <c r="BT717" s="5"/>
      <c r="BU717" s="5"/>
      <c r="BV717" s="5"/>
      <c r="BW717" s="5"/>
      <c r="BX717" s="5"/>
      <c r="BY717" s="5"/>
      <c r="BZ717" s="5"/>
      <c r="CA717" s="5"/>
      <c r="CB717" s="5"/>
      <c r="CC717" s="5"/>
      <c r="CD717" s="5"/>
      <c r="CE717" s="5"/>
      <c r="CF717" s="5"/>
      <c r="CG717" s="5"/>
      <c r="CH717" s="5"/>
      <c r="CI717" s="5"/>
    </row>
    <row r="718" ht="14.25" customHeight="1">
      <c r="B718" s="1"/>
      <c r="D718" s="1"/>
      <c r="E718" s="33"/>
      <c r="F718" s="34"/>
      <c r="G718" s="5"/>
      <c r="H718" s="5"/>
      <c r="I718" s="5"/>
      <c r="J718" s="5"/>
      <c r="K718" s="5"/>
      <c r="L718" s="5"/>
      <c r="M718" s="32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  <c r="AG718" s="5"/>
      <c r="AH718" s="5"/>
      <c r="AI718" s="5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  <c r="AV718" s="5"/>
      <c r="AW718" s="5"/>
      <c r="AX718" s="5"/>
      <c r="AY718" s="5"/>
      <c r="AZ718" s="5"/>
      <c r="BA718" s="5"/>
      <c r="BB718" s="5"/>
      <c r="BC718" s="5"/>
      <c r="BD718" s="5"/>
      <c r="BE718" s="5"/>
      <c r="BF718" s="5"/>
      <c r="BG718" s="5"/>
      <c r="BH718" s="5"/>
      <c r="BI718" s="5"/>
      <c r="BJ718" s="5"/>
      <c r="BK718" s="5"/>
      <c r="BL718" s="5"/>
      <c r="BM718" s="5"/>
      <c r="BN718" s="5"/>
      <c r="BO718" s="5"/>
      <c r="BP718" s="5"/>
      <c r="BQ718" s="5"/>
      <c r="BR718" s="5"/>
      <c r="BS718" s="5"/>
      <c r="BT718" s="5"/>
      <c r="BU718" s="5"/>
      <c r="BV718" s="5"/>
      <c r="BW718" s="5"/>
      <c r="BX718" s="5"/>
      <c r="BY718" s="5"/>
      <c r="BZ718" s="5"/>
      <c r="CA718" s="5"/>
      <c r="CB718" s="5"/>
      <c r="CC718" s="5"/>
      <c r="CD718" s="5"/>
      <c r="CE718" s="5"/>
      <c r="CF718" s="5"/>
      <c r="CG718" s="5"/>
      <c r="CH718" s="5"/>
      <c r="CI718" s="5"/>
    </row>
    <row r="719" ht="14.25" customHeight="1">
      <c r="B719" s="1"/>
      <c r="D719" s="1"/>
      <c r="E719" s="33"/>
      <c r="F719" s="34"/>
      <c r="G719" s="5"/>
      <c r="H719" s="5"/>
      <c r="I719" s="5"/>
      <c r="J719" s="5"/>
      <c r="K719" s="5"/>
      <c r="L719" s="5"/>
      <c r="M719" s="32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  <c r="AE719" s="5"/>
      <c r="AF719" s="5"/>
      <c r="AG719" s="5"/>
      <c r="AH719" s="5"/>
      <c r="AI719" s="5"/>
      <c r="AJ719" s="5"/>
      <c r="AK719" s="5"/>
      <c r="AL719" s="5"/>
      <c r="AM719" s="5"/>
      <c r="AN719" s="5"/>
      <c r="AO719" s="5"/>
      <c r="AP719" s="5"/>
      <c r="AQ719" s="5"/>
      <c r="AR719" s="5"/>
      <c r="AS719" s="5"/>
      <c r="AT719" s="5"/>
      <c r="AU719" s="5"/>
      <c r="AV719" s="5"/>
      <c r="AW719" s="5"/>
      <c r="AX719" s="5"/>
      <c r="AY719" s="5"/>
      <c r="AZ719" s="5"/>
      <c r="BA719" s="5"/>
      <c r="BB719" s="5"/>
      <c r="BC719" s="5"/>
      <c r="BD719" s="5"/>
      <c r="BE719" s="5"/>
      <c r="BF719" s="5"/>
      <c r="BG719" s="5"/>
      <c r="BH719" s="5"/>
      <c r="BI719" s="5"/>
      <c r="BJ719" s="5"/>
      <c r="BK719" s="5"/>
      <c r="BL719" s="5"/>
      <c r="BM719" s="5"/>
      <c r="BN719" s="5"/>
      <c r="BO719" s="5"/>
      <c r="BP719" s="5"/>
      <c r="BQ719" s="5"/>
      <c r="BR719" s="5"/>
      <c r="BS719" s="5"/>
      <c r="BT719" s="5"/>
      <c r="BU719" s="5"/>
      <c r="BV719" s="5"/>
      <c r="BW719" s="5"/>
      <c r="BX719" s="5"/>
      <c r="BY719" s="5"/>
      <c r="BZ719" s="5"/>
      <c r="CA719" s="5"/>
      <c r="CB719" s="5"/>
      <c r="CC719" s="5"/>
      <c r="CD719" s="5"/>
      <c r="CE719" s="5"/>
      <c r="CF719" s="5"/>
      <c r="CG719" s="5"/>
      <c r="CH719" s="5"/>
      <c r="CI719" s="5"/>
    </row>
    <row r="720" ht="14.25" customHeight="1">
      <c r="B720" s="1"/>
      <c r="D720" s="1"/>
      <c r="E720" s="33"/>
      <c r="F720" s="34"/>
      <c r="G720" s="5"/>
      <c r="H720" s="5"/>
      <c r="I720" s="5"/>
      <c r="J720" s="5"/>
      <c r="K720" s="5"/>
      <c r="L720" s="5"/>
      <c r="M720" s="32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  <c r="AE720" s="5"/>
      <c r="AF720" s="5"/>
      <c r="AG720" s="5"/>
      <c r="AH720" s="5"/>
      <c r="AI720" s="5"/>
      <c r="AJ720" s="5"/>
      <c r="AK720" s="5"/>
      <c r="AL720" s="5"/>
      <c r="AM720" s="5"/>
      <c r="AN720" s="5"/>
      <c r="AO720" s="5"/>
      <c r="AP720" s="5"/>
      <c r="AQ720" s="5"/>
      <c r="AR720" s="5"/>
      <c r="AS720" s="5"/>
      <c r="AT720" s="5"/>
      <c r="AU720" s="5"/>
      <c r="AV720" s="5"/>
      <c r="AW720" s="5"/>
      <c r="AX720" s="5"/>
      <c r="AY720" s="5"/>
      <c r="AZ720" s="5"/>
      <c r="BA720" s="5"/>
      <c r="BB720" s="5"/>
      <c r="BC720" s="5"/>
      <c r="BD720" s="5"/>
      <c r="BE720" s="5"/>
      <c r="BF720" s="5"/>
      <c r="BG720" s="5"/>
      <c r="BH720" s="5"/>
      <c r="BI720" s="5"/>
      <c r="BJ720" s="5"/>
      <c r="BK720" s="5"/>
      <c r="BL720" s="5"/>
      <c r="BM720" s="5"/>
      <c r="BN720" s="5"/>
      <c r="BO720" s="5"/>
      <c r="BP720" s="5"/>
      <c r="BQ720" s="5"/>
      <c r="BR720" s="5"/>
      <c r="BS720" s="5"/>
      <c r="BT720" s="5"/>
      <c r="BU720" s="5"/>
      <c r="BV720" s="5"/>
      <c r="BW720" s="5"/>
      <c r="BX720" s="5"/>
      <c r="BY720" s="5"/>
      <c r="BZ720" s="5"/>
      <c r="CA720" s="5"/>
      <c r="CB720" s="5"/>
      <c r="CC720" s="5"/>
      <c r="CD720" s="5"/>
      <c r="CE720" s="5"/>
      <c r="CF720" s="5"/>
      <c r="CG720" s="5"/>
      <c r="CH720" s="5"/>
      <c r="CI720" s="5"/>
    </row>
    <row r="721" ht="14.25" customHeight="1">
      <c r="B721" s="1"/>
      <c r="D721" s="1"/>
      <c r="E721" s="33"/>
      <c r="F721" s="34"/>
      <c r="G721" s="5"/>
      <c r="H721" s="5"/>
      <c r="I721" s="5"/>
      <c r="J721" s="5"/>
      <c r="K721" s="5"/>
      <c r="L721" s="5"/>
      <c r="M721" s="32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  <c r="AG721" s="5"/>
      <c r="AH721" s="5"/>
      <c r="AI721" s="5"/>
      <c r="AJ721" s="5"/>
      <c r="AK721" s="5"/>
      <c r="AL721" s="5"/>
      <c r="AM721" s="5"/>
      <c r="AN721" s="5"/>
      <c r="AO721" s="5"/>
      <c r="AP721" s="5"/>
      <c r="AQ721" s="5"/>
      <c r="AR721" s="5"/>
      <c r="AS721" s="5"/>
      <c r="AT721" s="5"/>
      <c r="AU721" s="5"/>
      <c r="AV721" s="5"/>
      <c r="AW721" s="5"/>
      <c r="AX721" s="5"/>
      <c r="AY721" s="5"/>
      <c r="AZ721" s="5"/>
      <c r="BA721" s="5"/>
      <c r="BB721" s="5"/>
      <c r="BC721" s="5"/>
      <c r="BD721" s="5"/>
      <c r="BE721" s="5"/>
      <c r="BF721" s="5"/>
      <c r="BG721" s="5"/>
      <c r="BH721" s="5"/>
      <c r="BI721" s="5"/>
      <c r="BJ721" s="5"/>
      <c r="BK721" s="5"/>
      <c r="BL721" s="5"/>
      <c r="BM721" s="5"/>
      <c r="BN721" s="5"/>
      <c r="BO721" s="5"/>
      <c r="BP721" s="5"/>
      <c r="BQ721" s="5"/>
      <c r="BR721" s="5"/>
      <c r="BS721" s="5"/>
      <c r="BT721" s="5"/>
      <c r="BU721" s="5"/>
      <c r="BV721" s="5"/>
      <c r="BW721" s="5"/>
      <c r="BX721" s="5"/>
      <c r="BY721" s="5"/>
      <c r="BZ721" s="5"/>
      <c r="CA721" s="5"/>
      <c r="CB721" s="5"/>
      <c r="CC721" s="5"/>
      <c r="CD721" s="5"/>
      <c r="CE721" s="5"/>
      <c r="CF721" s="5"/>
      <c r="CG721" s="5"/>
      <c r="CH721" s="5"/>
      <c r="CI721" s="5"/>
    </row>
    <row r="722" ht="14.25" customHeight="1">
      <c r="B722" s="1"/>
      <c r="D722" s="1"/>
      <c r="E722" s="33"/>
      <c r="F722" s="34"/>
      <c r="G722" s="5"/>
      <c r="H722" s="5"/>
      <c r="I722" s="5"/>
      <c r="J722" s="5"/>
      <c r="K722" s="5"/>
      <c r="L722" s="5"/>
      <c r="M722" s="32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  <c r="AE722" s="5"/>
      <c r="AF722" s="5"/>
      <c r="AG722" s="5"/>
      <c r="AH722" s="5"/>
      <c r="AI722" s="5"/>
      <c r="AJ722" s="5"/>
      <c r="AK722" s="5"/>
      <c r="AL722" s="5"/>
      <c r="AM722" s="5"/>
      <c r="AN722" s="5"/>
      <c r="AO722" s="5"/>
      <c r="AP722" s="5"/>
      <c r="AQ722" s="5"/>
      <c r="AR722" s="5"/>
      <c r="AS722" s="5"/>
      <c r="AT722" s="5"/>
      <c r="AU722" s="5"/>
      <c r="AV722" s="5"/>
      <c r="AW722" s="5"/>
      <c r="AX722" s="5"/>
      <c r="AY722" s="5"/>
      <c r="AZ722" s="5"/>
      <c r="BA722" s="5"/>
      <c r="BB722" s="5"/>
      <c r="BC722" s="5"/>
      <c r="BD722" s="5"/>
      <c r="BE722" s="5"/>
      <c r="BF722" s="5"/>
      <c r="BG722" s="5"/>
      <c r="BH722" s="5"/>
      <c r="BI722" s="5"/>
      <c r="BJ722" s="5"/>
      <c r="BK722" s="5"/>
      <c r="BL722" s="5"/>
      <c r="BM722" s="5"/>
      <c r="BN722" s="5"/>
      <c r="BO722" s="5"/>
      <c r="BP722" s="5"/>
      <c r="BQ722" s="5"/>
      <c r="BR722" s="5"/>
      <c r="BS722" s="5"/>
      <c r="BT722" s="5"/>
      <c r="BU722" s="5"/>
      <c r="BV722" s="5"/>
      <c r="BW722" s="5"/>
      <c r="BX722" s="5"/>
      <c r="BY722" s="5"/>
      <c r="BZ722" s="5"/>
      <c r="CA722" s="5"/>
      <c r="CB722" s="5"/>
      <c r="CC722" s="5"/>
      <c r="CD722" s="5"/>
      <c r="CE722" s="5"/>
      <c r="CF722" s="5"/>
      <c r="CG722" s="5"/>
      <c r="CH722" s="5"/>
      <c r="CI722" s="5"/>
    </row>
    <row r="723" ht="14.25" customHeight="1">
      <c r="B723" s="1"/>
      <c r="D723" s="1"/>
      <c r="E723" s="33"/>
      <c r="F723" s="34"/>
      <c r="G723" s="5"/>
      <c r="H723" s="5"/>
      <c r="I723" s="5"/>
      <c r="J723" s="5"/>
      <c r="K723" s="5"/>
      <c r="L723" s="5"/>
      <c r="M723" s="32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  <c r="AE723" s="5"/>
      <c r="AF723" s="5"/>
      <c r="AG723" s="5"/>
      <c r="AH723" s="5"/>
      <c r="AI723" s="5"/>
      <c r="AJ723" s="5"/>
      <c r="AK723" s="5"/>
      <c r="AL723" s="5"/>
      <c r="AM723" s="5"/>
      <c r="AN723" s="5"/>
      <c r="AO723" s="5"/>
      <c r="AP723" s="5"/>
      <c r="AQ723" s="5"/>
      <c r="AR723" s="5"/>
      <c r="AS723" s="5"/>
      <c r="AT723" s="5"/>
      <c r="AU723" s="5"/>
      <c r="AV723" s="5"/>
      <c r="AW723" s="5"/>
      <c r="AX723" s="5"/>
      <c r="AY723" s="5"/>
      <c r="AZ723" s="5"/>
      <c r="BA723" s="5"/>
      <c r="BB723" s="5"/>
      <c r="BC723" s="5"/>
      <c r="BD723" s="5"/>
      <c r="BE723" s="5"/>
      <c r="BF723" s="5"/>
      <c r="BG723" s="5"/>
      <c r="BH723" s="5"/>
      <c r="BI723" s="5"/>
      <c r="BJ723" s="5"/>
      <c r="BK723" s="5"/>
      <c r="BL723" s="5"/>
      <c r="BM723" s="5"/>
      <c r="BN723" s="5"/>
      <c r="BO723" s="5"/>
      <c r="BP723" s="5"/>
      <c r="BQ723" s="5"/>
      <c r="BR723" s="5"/>
      <c r="BS723" s="5"/>
      <c r="BT723" s="5"/>
      <c r="BU723" s="5"/>
      <c r="BV723" s="5"/>
      <c r="BW723" s="5"/>
      <c r="BX723" s="5"/>
      <c r="BY723" s="5"/>
      <c r="BZ723" s="5"/>
      <c r="CA723" s="5"/>
      <c r="CB723" s="5"/>
      <c r="CC723" s="5"/>
      <c r="CD723" s="5"/>
      <c r="CE723" s="5"/>
      <c r="CF723" s="5"/>
      <c r="CG723" s="5"/>
      <c r="CH723" s="5"/>
      <c r="CI723" s="5"/>
    </row>
    <row r="724" ht="14.25" customHeight="1">
      <c r="B724" s="1"/>
      <c r="D724" s="1"/>
      <c r="E724" s="33"/>
      <c r="F724" s="34"/>
      <c r="G724" s="5"/>
      <c r="H724" s="5"/>
      <c r="I724" s="5"/>
      <c r="J724" s="5"/>
      <c r="K724" s="5"/>
      <c r="L724" s="5"/>
      <c r="M724" s="32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  <c r="AG724" s="5"/>
      <c r="AH724" s="5"/>
      <c r="AI724" s="5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5"/>
      <c r="AW724" s="5"/>
      <c r="AX724" s="5"/>
      <c r="AY724" s="5"/>
      <c r="AZ724" s="5"/>
      <c r="BA724" s="5"/>
      <c r="BB724" s="5"/>
      <c r="BC724" s="5"/>
      <c r="BD724" s="5"/>
      <c r="BE724" s="5"/>
      <c r="BF724" s="5"/>
      <c r="BG724" s="5"/>
      <c r="BH724" s="5"/>
      <c r="BI724" s="5"/>
      <c r="BJ724" s="5"/>
      <c r="BK724" s="5"/>
      <c r="BL724" s="5"/>
      <c r="BM724" s="5"/>
      <c r="BN724" s="5"/>
      <c r="BO724" s="5"/>
      <c r="BP724" s="5"/>
      <c r="BQ724" s="5"/>
      <c r="BR724" s="5"/>
      <c r="BS724" s="5"/>
      <c r="BT724" s="5"/>
      <c r="BU724" s="5"/>
      <c r="BV724" s="5"/>
      <c r="BW724" s="5"/>
      <c r="BX724" s="5"/>
      <c r="BY724" s="5"/>
      <c r="BZ724" s="5"/>
      <c r="CA724" s="5"/>
      <c r="CB724" s="5"/>
      <c r="CC724" s="5"/>
      <c r="CD724" s="5"/>
      <c r="CE724" s="5"/>
      <c r="CF724" s="5"/>
      <c r="CG724" s="5"/>
      <c r="CH724" s="5"/>
      <c r="CI724" s="5"/>
    </row>
    <row r="725" ht="14.25" customHeight="1">
      <c r="B725" s="1"/>
      <c r="D725" s="1"/>
      <c r="E725" s="33"/>
      <c r="F725" s="34"/>
      <c r="G725" s="5"/>
      <c r="H725" s="5"/>
      <c r="I725" s="5"/>
      <c r="J725" s="5"/>
      <c r="K725" s="5"/>
      <c r="L725" s="5"/>
      <c r="M725" s="32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  <c r="AG725" s="5"/>
      <c r="AH725" s="5"/>
      <c r="AI725" s="5"/>
      <c r="AJ725" s="5"/>
      <c r="AK725" s="5"/>
      <c r="AL725" s="5"/>
      <c r="AM725" s="5"/>
      <c r="AN725" s="5"/>
      <c r="AO725" s="5"/>
      <c r="AP725" s="5"/>
      <c r="AQ725" s="5"/>
      <c r="AR725" s="5"/>
      <c r="AS725" s="5"/>
      <c r="AT725" s="5"/>
      <c r="AU725" s="5"/>
      <c r="AV725" s="5"/>
      <c r="AW725" s="5"/>
      <c r="AX725" s="5"/>
      <c r="AY725" s="5"/>
      <c r="AZ725" s="5"/>
      <c r="BA725" s="5"/>
      <c r="BB725" s="5"/>
      <c r="BC725" s="5"/>
      <c r="BD725" s="5"/>
      <c r="BE725" s="5"/>
      <c r="BF725" s="5"/>
      <c r="BG725" s="5"/>
      <c r="BH725" s="5"/>
      <c r="BI725" s="5"/>
      <c r="BJ725" s="5"/>
      <c r="BK725" s="5"/>
      <c r="BL725" s="5"/>
      <c r="BM725" s="5"/>
      <c r="BN725" s="5"/>
      <c r="BO725" s="5"/>
      <c r="BP725" s="5"/>
      <c r="BQ725" s="5"/>
      <c r="BR725" s="5"/>
      <c r="BS725" s="5"/>
      <c r="BT725" s="5"/>
      <c r="BU725" s="5"/>
      <c r="BV725" s="5"/>
      <c r="BW725" s="5"/>
      <c r="BX725" s="5"/>
      <c r="BY725" s="5"/>
      <c r="BZ725" s="5"/>
      <c r="CA725" s="5"/>
      <c r="CB725" s="5"/>
      <c r="CC725" s="5"/>
      <c r="CD725" s="5"/>
      <c r="CE725" s="5"/>
      <c r="CF725" s="5"/>
      <c r="CG725" s="5"/>
      <c r="CH725" s="5"/>
      <c r="CI725" s="5"/>
    </row>
    <row r="726" ht="14.25" customHeight="1">
      <c r="B726" s="1"/>
      <c r="D726" s="1"/>
      <c r="E726" s="33"/>
      <c r="F726" s="34"/>
      <c r="G726" s="5"/>
      <c r="H726" s="5"/>
      <c r="I726" s="5"/>
      <c r="J726" s="5"/>
      <c r="K726" s="5"/>
      <c r="L726" s="5"/>
      <c r="M726" s="32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  <c r="AE726" s="5"/>
      <c r="AF726" s="5"/>
      <c r="AG726" s="5"/>
      <c r="AH726" s="5"/>
      <c r="AI726" s="5"/>
      <c r="AJ726" s="5"/>
      <c r="AK726" s="5"/>
      <c r="AL726" s="5"/>
      <c r="AM726" s="5"/>
      <c r="AN726" s="5"/>
      <c r="AO726" s="5"/>
      <c r="AP726" s="5"/>
      <c r="AQ726" s="5"/>
      <c r="AR726" s="5"/>
      <c r="AS726" s="5"/>
      <c r="AT726" s="5"/>
      <c r="AU726" s="5"/>
      <c r="AV726" s="5"/>
      <c r="AW726" s="5"/>
      <c r="AX726" s="5"/>
      <c r="AY726" s="5"/>
      <c r="AZ726" s="5"/>
      <c r="BA726" s="5"/>
      <c r="BB726" s="5"/>
      <c r="BC726" s="5"/>
      <c r="BD726" s="5"/>
      <c r="BE726" s="5"/>
      <c r="BF726" s="5"/>
      <c r="BG726" s="5"/>
      <c r="BH726" s="5"/>
      <c r="BI726" s="5"/>
      <c r="BJ726" s="5"/>
      <c r="BK726" s="5"/>
      <c r="BL726" s="5"/>
      <c r="BM726" s="5"/>
      <c r="BN726" s="5"/>
      <c r="BO726" s="5"/>
      <c r="BP726" s="5"/>
      <c r="BQ726" s="5"/>
      <c r="BR726" s="5"/>
      <c r="BS726" s="5"/>
      <c r="BT726" s="5"/>
      <c r="BU726" s="5"/>
      <c r="BV726" s="5"/>
      <c r="BW726" s="5"/>
      <c r="BX726" s="5"/>
      <c r="BY726" s="5"/>
      <c r="BZ726" s="5"/>
      <c r="CA726" s="5"/>
      <c r="CB726" s="5"/>
      <c r="CC726" s="5"/>
      <c r="CD726" s="5"/>
      <c r="CE726" s="5"/>
      <c r="CF726" s="5"/>
      <c r="CG726" s="5"/>
      <c r="CH726" s="5"/>
      <c r="CI726" s="5"/>
    </row>
    <row r="727" ht="14.25" customHeight="1">
      <c r="B727" s="1"/>
      <c r="D727" s="1"/>
      <c r="E727" s="33"/>
      <c r="F727" s="34"/>
      <c r="G727" s="5"/>
      <c r="H727" s="5"/>
      <c r="I727" s="5"/>
      <c r="J727" s="5"/>
      <c r="K727" s="5"/>
      <c r="L727" s="5"/>
      <c r="M727" s="32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  <c r="AG727" s="5"/>
      <c r="AH727" s="5"/>
      <c r="AI727" s="5"/>
      <c r="AJ727" s="5"/>
      <c r="AK727" s="5"/>
      <c r="AL727" s="5"/>
      <c r="AM727" s="5"/>
      <c r="AN727" s="5"/>
      <c r="AO727" s="5"/>
      <c r="AP727" s="5"/>
      <c r="AQ727" s="5"/>
      <c r="AR727" s="5"/>
      <c r="AS727" s="5"/>
      <c r="AT727" s="5"/>
      <c r="AU727" s="5"/>
      <c r="AV727" s="5"/>
      <c r="AW727" s="5"/>
      <c r="AX727" s="5"/>
      <c r="AY727" s="5"/>
      <c r="AZ727" s="5"/>
      <c r="BA727" s="5"/>
      <c r="BB727" s="5"/>
      <c r="BC727" s="5"/>
      <c r="BD727" s="5"/>
      <c r="BE727" s="5"/>
      <c r="BF727" s="5"/>
      <c r="BG727" s="5"/>
      <c r="BH727" s="5"/>
      <c r="BI727" s="5"/>
      <c r="BJ727" s="5"/>
      <c r="BK727" s="5"/>
      <c r="BL727" s="5"/>
      <c r="BM727" s="5"/>
      <c r="BN727" s="5"/>
      <c r="BO727" s="5"/>
      <c r="BP727" s="5"/>
      <c r="BQ727" s="5"/>
      <c r="BR727" s="5"/>
      <c r="BS727" s="5"/>
      <c r="BT727" s="5"/>
      <c r="BU727" s="5"/>
      <c r="BV727" s="5"/>
      <c r="BW727" s="5"/>
      <c r="BX727" s="5"/>
      <c r="BY727" s="5"/>
      <c r="BZ727" s="5"/>
      <c r="CA727" s="5"/>
      <c r="CB727" s="5"/>
      <c r="CC727" s="5"/>
      <c r="CD727" s="5"/>
      <c r="CE727" s="5"/>
      <c r="CF727" s="5"/>
      <c r="CG727" s="5"/>
      <c r="CH727" s="5"/>
      <c r="CI727" s="5"/>
    </row>
    <row r="728" ht="14.25" customHeight="1">
      <c r="B728" s="1"/>
      <c r="D728" s="1"/>
      <c r="E728" s="33"/>
      <c r="F728" s="34"/>
      <c r="G728" s="5"/>
      <c r="H728" s="5"/>
      <c r="I728" s="5"/>
      <c r="J728" s="5"/>
      <c r="K728" s="5"/>
      <c r="L728" s="5"/>
      <c r="M728" s="32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  <c r="AE728" s="5"/>
      <c r="AF728" s="5"/>
      <c r="AG728" s="5"/>
      <c r="AH728" s="5"/>
      <c r="AI728" s="5"/>
      <c r="AJ728" s="5"/>
      <c r="AK728" s="5"/>
      <c r="AL728" s="5"/>
      <c r="AM728" s="5"/>
      <c r="AN728" s="5"/>
      <c r="AO728" s="5"/>
      <c r="AP728" s="5"/>
      <c r="AQ728" s="5"/>
      <c r="AR728" s="5"/>
      <c r="AS728" s="5"/>
      <c r="AT728" s="5"/>
      <c r="AU728" s="5"/>
      <c r="AV728" s="5"/>
      <c r="AW728" s="5"/>
      <c r="AX728" s="5"/>
      <c r="AY728" s="5"/>
      <c r="AZ728" s="5"/>
      <c r="BA728" s="5"/>
      <c r="BB728" s="5"/>
      <c r="BC728" s="5"/>
      <c r="BD728" s="5"/>
      <c r="BE728" s="5"/>
      <c r="BF728" s="5"/>
      <c r="BG728" s="5"/>
      <c r="BH728" s="5"/>
      <c r="BI728" s="5"/>
      <c r="BJ728" s="5"/>
      <c r="BK728" s="5"/>
      <c r="BL728" s="5"/>
      <c r="BM728" s="5"/>
      <c r="BN728" s="5"/>
      <c r="BO728" s="5"/>
      <c r="BP728" s="5"/>
      <c r="BQ728" s="5"/>
      <c r="BR728" s="5"/>
      <c r="BS728" s="5"/>
      <c r="BT728" s="5"/>
      <c r="BU728" s="5"/>
      <c r="BV728" s="5"/>
      <c r="BW728" s="5"/>
      <c r="BX728" s="5"/>
      <c r="BY728" s="5"/>
      <c r="BZ728" s="5"/>
      <c r="CA728" s="5"/>
      <c r="CB728" s="5"/>
      <c r="CC728" s="5"/>
      <c r="CD728" s="5"/>
      <c r="CE728" s="5"/>
      <c r="CF728" s="5"/>
      <c r="CG728" s="5"/>
      <c r="CH728" s="5"/>
      <c r="CI728" s="5"/>
    </row>
    <row r="729" ht="14.25" customHeight="1">
      <c r="B729" s="1"/>
      <c r="D729" s="1"/>
      <c r="E729" s="33"/>
      <c r="F729" s="34"/>
      <c r="G729" s="5"/>
      <c r="H729" s="5"/>
      <c r="I729" s="5"/>
      <c r="J729" s="5"/>
      <c r="K729" s="5"/>
      <c r="L729" s="5"/>
      <c r="M729" s="32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  <c r="AE729" s="5"/>
      <c r="AF729" s="5"/>
      <c r="AG729" s="5"/>
      <c r="AH729" s="5"/>
      <c r="AI729" s="5"/>
      <c r="AJ729" s="5"/>
      <c r="AK729" s="5"/>
      <c r="AL729" s="5"/>
      <c r="AM729" s="5"/>
      <c r="AN729" s="5"/>
      <c r="AO729" s="5"/>
      <c r="AP729" s="5"/>
      <c r="AQ729" s="5"/>
      <c r="AR729" s="5"/>
      <c r="AS729" s="5"/>
      <c r="AT729" s="5"/>
      <c r="AU729" s="5"/>
      <c r="AV729" s="5"/>
      <c r="AW729" s="5"/>
      <c r="AX729" s="5"/>
      <c r="AY729" s="5"/>
      <c r="AZ729" s="5"/>
      <c r="BA729" s="5"/>
      <c r="BB729" s="5"/>
      <c r="BC729" s="5"/>
      <c r="BD729" s="5"/>
      <c r="BE729" s="5"/>
      <c r="BF729" s="5"/>
      <c r="BG729" s="5"/>
      <c r="BH729" s="5"/>
      <c r="BI729" s="5"/>
      <c r="BJ729" s="5"/>
      <c r="BK729" s="5"/>
      <c r="BL729" s="5"/>
      <c r="BM729" s="5"/>
      <c r="BN729" s="5"/>
      <c r="BO729" s="5"/>
      <c r="BP729" s="5"/>
      <c r="BQ729" s="5"/>
      <c r="BR729" s="5"/>
      <c r="BS729" s="5"/>
      <c r="BT729" s="5"/>
      <c r="BU729" s="5"/>
      <c r="BV729" s="5"/>
      <c r="BW729" s="5"/>
      <c r="BX729" s="5"/>
      <c r="BY729" s="5"/>
      <c r="BZ729" s="5"/>
      <c r="CA729" s="5"/>
      <c r="CB729" s="5"/>
      <c r="CC729" s="5"/>
      <c r="CD729" s="5"/>
      <c r="CE729" s="5"/>
      <c r="CF729" s="5"/>
      <c r="CG729" s="5"/>
      <c r="CH729" s="5"/>
      <c r="CI729" s="5"/>
    </row>
    <row r="730" ht="14.25" customHeight="1">
      <c r="B730" s="1"/>
      <c r="D730" s="1"/>
      <c r="E730" s="33"/>
      <c r="F730" s="34"/>
      <c r="G730" s="5"/>
      <c r="H730" s="5"/>
      <c r="I730" s="5"/>
      <c r="J730" s="5"/>
      <c r="K730" s="5"/>
      <c r="L730" s="5"/>
      <c r="M730" s="32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  <c r="AG730" s="5"/>
      <c r="AH730" s="5"/>
      <c r="AI730" s="5"/>
      <c r="AJ730" s="5"/>
      <c r="AK730" s="5"/>
      <c r="AL730" s="5"/>
      <c r="AM730" s="5"/>
      <c r="AN730" s="5"/>
      <c r="AO730" s="5"/>
      <c r="AP730" s="5"/>
      <c r="AQ730" s="5"/>
      <c r="AR730" s="5"/>
      <c r="AS730" s="5"/>
      <c r="AT730" s="5"/>
      <c r="AU730" s="5"/>
      <c r="AV730" s="5"/>
      <c r="AW730" s="5"/>
      <c r="AX730" s="5"/>
      <c r="AY730" s="5"/>
      <c r="AZ730" s="5"/>
      <c r="BA730" s="5"/>
      <c r="BB730" s="5"/>
      <c r="BC730" s="5"/>
      <c r="BD730" s="5"/>
      <c r="BE730" s="5"/>
      <c r="BF730" s="5"/>
      <c r="BG730" s="5"/>
      <c r="BH730" s="5"/>
      <c r="BI730" s="5"/>
      <c r="BJ730" s="5"/>
      <c r="BK730" s="5"/>
      <c r="BL730" s="5"/>
      <c r="BM730" s="5"/>
      <c r="BN730" s="5"/>
      <c r="BO730" s="5"/>
      <c r="BP730" s="5"/>
      <c r="BQ730" s="5"/>
      <c r="BR730" s="5"/>
      <c r="BS730" s="5"/>
      <c r="BT730" s="5"/>
      <c r="BU730" s="5"/>
      <c r="BV730" s="5"/>
      <c r="BW730" s="5"/>
      <c r="BX730" s="5"/>
      <c r="BY730" s="5"/>
      <c r="BZ730" s="5"/>
      <c r="CA730" s="5"/>
      <c r="CB730" s="5"/>
      <c r="CC730" s="5"/>
      <c r="CD730" s="5"/>
      <c r="CE730" s="5"/>
      <c r="CF730" s="5"/>
      <c r="CG730" s="5"/>
      <c r="CH730" s="5"/>
      <c r="CI730" s="5"/>
    </row>
    <row r="731" ht="14.25" customHeight="1">
      <c r="B731" s="1"/>
      <c r="D731" s="1"/>
      <c r="E731" s="33"/>
      <c r="F731" s="34"/>
      <c r="G731" s="5"/>
      <c r="H731" s="5"/>
      <c r="I731" s="5"/>
      <c r="J731" s="5"/>
      <c r="K731" s="5"/>
      <c r="L731" s="5"/>
      <c r="M731" s="32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  <c r="AE731" s="5"/>
      <c r="AF731" s="5"/>
      <c r="AG731" s="5"/>
      <c r="AH731" s="5"/>
      <c r="AI731" s="5"/>
      <c r="AJ731" s="5"/>
      <c r="AK731" s="5"/>
      <c r="AL731" s="5"/>
      <c r="AM731" s="5"/>
      <c r="AN731" s="5"/>
      <c r="AO731" s="5"/>
      <c r="AP731" s="5"/>
      <c r="AQ731" s="5"/>
      <c r="AR731" s="5"/>
      <c r="AS731" s="5"/>
      <c r="AT731" s="5"/>
      <c r="AU731" s="5"/>
      <c r="AV731" s="5"/>
      <c r="AW731" s="5"/>
      <c r="AX731" s="5"/>
      <c r="AY731" s="5"/>
      <c r="AZ731" s="5"/>
      <c r="BA731" s="5"/>
      <c r="BB731" s="5"/>
      <c r="BC731" s="5"/>
      <c r="BD731" s="5"/>
      <c r="BE731" s="5"/>
      <c r="BF731" s="5"/>
      <c r="BG731" s="5"/>
      <c r="BH731" s="5"/>
      <c r="BI731" s="5"/>
      <c r="BJ731" s="5"/>
      <c r="BK731" s="5"/>
      <c r="BL731" s="5"/>
      <c r="BM731" s="5"/>
      <c r="BN731" s="5"/>
      <c r="BO731" s="5"/>
      <c r="BP731" s="5"/>
      <c r="BQ731" s="5"/>
      <c r="BR731" s="5"/>
      <c r="BS731" s="5"/>
      <c r="BT731" s="5"/>
      <c r="BU731" s="5"/>
      <c r="BV731" s="5"/>
      <c r="BW731" s="5"/>
      <c r="BX731" s="5"/>
      <c r="BY731" s="5"/>
      <c r="BZ731" s="5"/>
      <c r="CA731" s="5"/>
      <c r="CB731" s="5"/>
      <c r="CC731" s="5"/>
      <c r="CD731" s="5"/>
      <c r="CE731" s="5"/>
      <c r="CF731" s="5"/>
      <c r="CG731" s="5"/>
      <c r="CH731" s="5"/>
      <c r="CI731" s="5"/>
    </row>
    <row r="732" ht="14.25" customHeight="1">
      <c r="B732" s="1"/>
      <c r="D732" s="1"/>
      <c r="E732" s="33"/>
      <c r="F732" s="34"/>
      <c r="G732" s="5"/>
      <c r="H732" s="5"/>
      <c r="I732" s="5"/>
      <c r="J732" s="5"/>
      <c r="K732" s="5"/>
      <c r="L732" s="5"/>
      <c r="M732" s="32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  <c r="AE732" s="5"/>
      <c r="AF732" s="5"/>
      <c r="AG732" s="5"/>
      <c r="AH732" s="5"/>
      <c r="AI732" s="5"/>
      <c r="AJ732" s="5"/>
      <c r="AK732" s="5"/>
      <c r="AL732" s="5"/>
      <c r="AM732" s="5"/>
      <c r="AN732" s="5"/>
      <c r="AO732" s="5"/>
      <c r="AP732" s="5"/>
      <c r="AQ732" s="5"/>
      <c r="AR732" s="5"/>
      <c r="AS732" s="5"/>
      <c r="AT732" s="5"/>
      <c r="AU732" s="5"/>
      <c r="AV732" s="5"/>
      <c r="AW732" s="5"/>
      <c r="AX732" s="5"/>
      <c r="AY732" s="5"/>
      <c r="AZ732" s="5"/>
      <c r="BA732" s="5"/>
      <c r="BB732" s="5"/>
      <c r="BC732" s="5"/>
      <c r="BD732" s="5"/>
      <c r="BE732" s="5"/>
      <c r="BF732" s="5"/>
      <c r="BG732" s="5"/>
      <c r="BH732" s="5"/>
      <c r="BI732" s="5"/>
      <c r="BJ732" s="5"/>
      <c r="BK732" s="5"/>
      <c r="BL732" s="5"/>
      <c r="BM732" s="5"/>
      <c r="BN732" s="5"/>
      <c r="BO732" s="5"/>
      <c r="BP732" s="5"/>
      <c r="BQ732" s="5"/>
      <c r="BR732" s="5"/>
      <c r="BS732" s="5"/>
      <c r="BT732" s="5"/>
      <c r="BU732" s="5"/>
      <c r="BV732" s="5"/>
      <c r="BW732" s="5"/>
      <c r="BX732" s="5"/>
      <c r="BY732" s="5"/>
      <c r="BZ732" s="5"/>
      <c r="CA732" s="5"/>
      <c r="CB732" s="5"/>
      <c r="CC732" s="5"/>
      <c r="CD732" s="5"/>
      <c r="CE732" s="5"/>
      <c r="CF732" s="5"/>
      <c r="CG732" s="5"/>
      <c r="CH732" s="5"/>
      <c r="CI732" s="5"/>
    </row>
    <row r="733" ht="14.25" customHeight="1">
      <c r="B733" s="1"/>
      <c r="D733" s="1"/>
      <c r="E733" s="33"/>
      <c r="F733" s="34"/>
      <c r="G733" s="5"/>
      <c r="H733" s="5"/>
      <c r="I733" s="5"/>
      <c r="J733" s="5"/>
      <c r="K733" s="5"/>
      <c r="L733" s="5"/>
      <c r="M733" s="32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  <c r="AG733" s="5"/>
      <c r="AH733" s="5"/>
      <c r="AI733" s="5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5"/>
      <c r="AW733" s="5"/>
      <c r="AX733" s="5"/>
      <c r="AY733" s="5"/>
      <c r="AZ733" s="5"/>
      <c r="BA733" s="5"/>
      <c r="BB733" s="5"/>
      <c r="BC733" s="5"/>
      <c r="BD733" s="5"/>
      <c r="BE733" s="5"/>
      <c r="BF733" s="5"/>
      <c r="BG733" s="5"/>
      <c r="BH733" s="5"/>
      <c r="BI733" s="5"/>
      <c r="BJ733" s="5"/>
      <c r="BK733" s="5"/>
      <c r="BL733" s="5"/>
      <c r="BM733" s="5"/>
      <c r="BN733" s="5"/>
      <c r="BO733" s="5"/>
      <c r="BP733" s="5"/>
      <c r="BQ733" s="5"/>
      <c r="BR733" s="5"/>
      <c r="BS733" s="5"/>
      <c r="BT733" s="5"/>
      <c r="BU733" s="5"/>
      <c r="BV733" s="5"/>
      <c r="BW733" s="5"/>
      <c r="BX733" s="5"/>
      <c r="BY733" s="5"/>
      <c r="BZ733" s="5"/>
      <c r="CA733" s="5"/>
      <c r="CB733" s="5"/>
      <c r="CC733" s="5"/>
      <c r="CD733" s="5"/>
      <c r="CE733" s="5"/>
      <c r="CF733" s="5"/>
      <c r="CG733" s="5"/>
      <c r="CH733" s="5"/>
      <c r="CI733" s="5"/>
    </row>
    <row r="734" ht="14.25" customHeight="1">
      <c r="B734" s="1"/>
      <c r="D734" s="1"/>
      <c r="E734" s="33"/>
      <c r="F734" s="34"/>
      <c r="G734" s="5"/>
      <c r="H734" s="5"/>
      <c r="I734" s="5"/>
      <c r="J734" s="5"/>
      <c r="K734" s="5"/>
      <c r="L734" s="5"/>
      <c r="M734" s="32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  <c r="AG734" s="5"/>
      <c r="AH734" s="5"/>
      <c r="AI734" s="5"/>
      <c r="AJ734" s="5"/>
      <c r="AK734" s="5"/>
      <c r="AL734" s="5"/>
      <c r="AM734" s="5"/>
      <c r="AN734" s="5"/>
      <c r="AO734" s="5"/>
      <c r="AP734" s="5"/>
      <c r="AQ734" s="5"/>
      <c r="AR734" s="5"/>
      <c r="AS734" s="5"/>
      <c r="AT734" s="5"/>
      <c r="AU734" s="5"/>
      <c r="AV734" s="5"/>
      <c r="AW734" s="5"/>
      <c r="AX734" s="5"/>
      <c r="AY734" s="5"/>
      <c r="AZ734" s="5"/>
      <c r="BA734" s="5"/>
      <c r="BB734" s="5"/>
      <c r="BC734" s="5"/>
      <c r="BD734" s="5"/>
      <c r="BE734" s="5"/>
      <c r="BF734" s="5"/>
      <c r="BG734" s="5"/>
      <c r="BH734" s="5"/>
      <c r="BI734" s="5"/>
      <c r="BJ734" s="5"/>
      <c r="BK734" s="5"/>
      <c r="BL734" s="5"/>
      <c r="BM734" s="5"/>
      <c r="BN734" s="5"/>
      <c r="BO734" s="5"/>
      <c r="BP734" s="5"/>
      <c r="BQ734" s="5"/>
      <c r="BR734" s="5"/>
      <c r="BS734" s="5"/>
      <c r="BT734" s="5"/>
      <c r="BU734" s="5"/>
      <c r="BV734" s="5"/>
      <c r="BW734" s="5"/>
      <c r="BX734" s="5"/>
      <c r="BY734" s="5"/>
      <c r="BZ734" s="5"/>
      <c r="CA734" s="5"/>
      <c r="CB734" s="5"/>
      <c r="CC734" s="5"/>
      <c r="CD734" s="5"/>
      <c r="CE734" s="5"/>
      <c r="CF734" s="5"/>
      <c r="CG734" s="5"/>
      <c r="CH734" s="5"/>
      <c r="CI734" s="5"/>
    </row>
    <row r="735" ht="14.25" customHeight="1">
      <c r="B735" s="1"/>
      <c r="D735" s="1"/>
      <c r="E735" s="33"/>
      <c r="F735" s="34"/>
      <c r="G735" s="5"/>
      <c r="H735" s="5"/>
      <c r="I735" s="5"/>
      <c r="J735" s="5"/>
      <c r="K735" s="5"/>
      <c r="L735" s="5"/>
      <c r="M735" s="32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  <c r="AE735" s="5"/>
      <c r="AF735" s="5"/>
      <c r="AG735" s="5"/>
      <c r="AH735" s="5"/>
      <c r="AI735" s="5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5"/>
      <c r="AW735" s="5"/>
      <c r="AX735" s="5"/>
      <c r="AY735" s="5"/>
      <c r="AZ735" s="5"/>
      <c r="BA735" s="5"/>
      <c r="BB735" s="5"/>
      <c r="BC735" s="5"/>
      <c r="BD735" s="5"/>
      <c r="BE735" s="5"/>
      <c r="BF735" s="5"/>
      <c r="BG735" s="5"/>
      <c r="BH735" s="5"/>
      <c r="BI735" s="5"/>
      <c r="BJ735" s="5"/>
      <c r="BK735" s="5"/>
      <c r="BL735" s="5"/>
      <c r="BM735" s="5"/>
      <c r="BN735" s="5"/>
      <c r="BO735" s="5"/>
      <c r="BP735" s="5"/>
      <c r="BQ735" s="5"/>
      <c r="BR735" s="5"/>
      <c r="BS735" s="5"/>
      <c r="BT735" s="5"/>
      <c r="BU735" s="5"/>
      <c r="BV735" s="5"/>
      <c r="BW735" s="5"/>
      <c r="BX735" s="5"/>
      <c r="BY735" s="5"/>
      <c r="BZ735" s="5"/>
      <c r="CA735" s="5"/>
      <c r="CB735" s="5"/>
      <c r="CC735" s="5"/>
      <c r="CD735" s="5"/>
      <c r="CE735" s="5"/>
      <c r="CF735" s="5"/>
      <c r="CG735" s="5"/>
      <c r="CH735" s="5"/>
      <c r="CI735" s="5"/>
    </row>
    <row r="736" ht="14.25" customHeight="1">
      <c r="B736" s="1"/>
      <c r="D736" s="1"/>
      <c r="E736" s="33"/>
      <c r="F736" s="34"/>
      <c r="G736" s="5"/>
      <c r="H736" s="5"/>
      <c r="I736" s="5"/>
      <c r="J736" s="5"/>
      <c r="K736" s="5"/>
      <c r="L736" s="5"/>
      <c r="M736" s="32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  <c r="AG736" s="5"/>
      <c r="AH736" s="5"/>
      <c r="AI736" s="5"/>
      <c r="AJ736" s="5"/>
      <c r="AK736" s="5"/>
      <c r="AL736" s="5"/>
      <c r="AM736" s="5"/>
      <c r="AN736" s="5"/>
      <c r="AO736" s="5"/>
      <c r="AP736" s="5"/>
      <c r="AQ736" s="5"/>
      <c r="AR736" s="5"/>
      <c r="AS736" s="5"/>
      <c r="AT736" s="5"/>
      <c r="AU736" s="5"/>
      <c r="AV736" s="5"/>
      <c r="AW736" s="5"/>
      <c r="AX736" s="5"/>
      <c r="AY736" s="5"/>
      <c r="AZ736" s="5"/>
      <c r="BA736" s="5"/>
      <c r="BB736" s="5"/>
      <c r="BC736" s="5"/>
      <c r="BD736" s="5"/>
      <c r="BE736" s="5"/>
      <c r="BF736" s="5"/>
      <c r="BG736" s="5"/>
      <c r="BH736" s="5"/>
      <c r="BI736" s="5"/>
      <c r="BJ736" s="5"/>
      <c r="BK736" s="5"/>
      <c r="BL736" s="5"/>
      <c r="BM736" s="5"/>
      <c r="BN736" s="5"/>
      <c r="BO736" s="5"/>
      <c r="BP736" s="5"/>
      <c r="BQ736" s="5"/>
      <c r="BR736" s="5"/>
      <c r="BS736" s="5"/>
      <c r="BT736" s="5"/>
      <c r="BU736" s="5"/>
      <c r="BV736" s="5"/>
      <c r="BW736" s="5"/>
      <c r="BX736" s="5"/>
      <c r="BY736" s="5"/>
      <c r="BZ736" s="5"/>
      <c r="CA736" s="5"/>
      <c r="CB736" s="5"/>
      <c r="CC736" s="5"/>
      <c r="CD736" s="5"/>
      <c r="CE736" s="5"/>
      <c r="CF736" s="5"/>
      <c r="CG736" s="5"/>
      <c r="CH736" s="5"/>
      <c r="CI736" s="5"/>
    </row>
    <row r="737" ht="14.25" customHeight="1">
      <c r="B737" s="1"/>
      <c r="D737" s="1"/>
      <c r="E737" s="33"/>
      <c r="F737" s="34"/>
      <c r="G737" s="5"/>
      <c r="H737" s="5"/>
      <c r="I737" s="5"/>
      <c r="J737" s="5"/>
      <c r="K737" s="5"/>
      <c r="L737" s="5"/>
      <c r="M737" s="32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  <c r="AE737" s="5"/>
      <c r="AF737" s="5"/>
      <c r="AG737" s="5"/>
      <c r="AH737" s="5"/>
      <c r="AI737" s="5"/>
      <c r="AJ737" s="5"/>
      <c r="AK737" s="5"/>
      <c r="AL737" s="5"/>
      <c r="AM737" s="5"/>
      <c r="AN737" s="5"/>
      <c r="AO737" s="5"/>
      <c r="AP737" s="5"/>
      <c r="AQ737" s="5"/>
      <c r="AR737" s="5"/>
      <c r="AS737" s="5"/>
      <c r="AT737" s="5"/>
      <c r="AU737" s="5"/>
      <c r="AV737" s="5"/>
      <c r="AW737" s="5"/>
      <c r="AX737" s="5"/>
      <c r="AY737" s="5"/>
      <c r="AZ737" s="5"/>
      <c r="BA737" s="5"/>
      <c r="BB737" s="5"/>
      <c r="BC737" s="5"/>
      <c r="BD737" s="5"/>
      <c r="BE737" s="5"/>
      <c r="BF737" s="5"/>
      <c r="BG737" s="5"/>
      <c r="BH737" s="5"/>
      <c r="BI737" s="5"/>
      <c r="BJ737" s="5"/>
      <c r="BK737" s="5"/>
      <c r="BL737" s="5"/>
      <c r="BM737" s="5"/>
      <c r="BN737" s="5"/>
      <c r="BO737" s="5"/>
      <c r="BP737" s="5"/>
      <c r="BQ737" s="5"/>
      <c r="BR737" s="5"/>
      <c r="BS737" s="5"/>
      <c r="BT737" s="5"/>
      <c r="BU737" s="5"/>
      <c r="BV737" s="5"/>
      <c r="BW737" s="5"/>
      <c r="BX737" s="5"/>
      <c r="BY737" s="5"/>
      <c r="BZ737" s="5"/>
      <c r="CA737" s="5"/>
      <c r="CB737" s="5"/>
      <c r="CC737" s="5"/>
      <c r="CD737" s="5"/>
      <c r="CE737" s="5"/>
      <c r="CF737" s="5"/>
      <c r="CG737" s="5"/>
      <c r="CH737" s="5"/>
      <c r="CI737" s="5"/>
    </row>
    <row r="738" ht="14.25" customHeight="1">
      <c r="B738" s="1"/>
      <c r="D738" s="1"/>
      <c r="E738" s="33"/>
      <c r="F738" s="34"/>
      <c r="G738" s="5"/>
      <c r="H738" s="5"/>
      <c r="I738" s="5"/>
      <c r="J738" s="5"/>
      <c r="K738" s="5"/>
      <c r="L738" s="5"/>
      <c r="M738" s="32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  <c r="AE738" s="5"/>
      <c r="AF738" s="5"/>
      <c r="AG738" s="5"/>
      <c r="AH738" s="5"/>
      <c r="AI738" s="5"/>
      <c r="AJ738" s="5"/>
      <c r="AK738" s="5"/>
      <c r="AL738" s="5"/>
      <c r="AM738" s="5"/>
      <c r="AN738" s="5"/>
      <c r="AO738" s="5"/>
      <c r="AP738" s="5"/>
      <c r="AQ738" s="5"/>
      <c r="AR738" s="5"/>
      <c r="AS738" s="5"/>
      <c r="AT738" s="5"/>
      <c r="AU738" s="5"/>
      <c r="AV738" s="5"/>
      <c r="AW738" s="5"/>
      <c r="AX738" s="5"/>
      <c r="AY738" s="5"/>
      <c r="AZ738" s="5"/>
      <c r="BA738" s="5"/>
      <c r="BB738" s="5"/>
      <c r="BC738" s="5"/>
      <c r="BD738" s="5"/>
      <c r="BE738" s="5"/>
      <c r="BF738" s="5"/>
      <c r="BG738" s="5"/>
      <c r="BH738" s="5"/>
      <c r="BI738" s="5"/>
      <c r="BJ738" s="5"/>
      <c r="BK738" s="5"/>
      <c r="BL738" s="5"/>
      <c r="BM738" s="5"/>
      <c r="BN738" s="5"/>
      <c r="BO738" s="5"/>
      <c r="BP738" s="5"/>
      <c r="BQ738" s="5"/>
      <c r="BR738" s="5"/>
      <c r="BS738" s="5"/>
      <c r="BT738" s="5"/>
      <c r="BU738" s="5"/>
      <c r="BV738" s="5"/>
      <c r="BW738" s="5"/>
      <c r="BX738" s="5"/>
      <c r="BY738" s="5"/>
      <c r="BZ738" s="5"/>
      <c r="CA738" s="5"/>
      <c r="CB738" s="5"/>
      <c r="CC738" s="5"/>
      <c r="CD738" s="5"/>
      <c r="CE738" s="5"/>
      <c r="CF738" s="5"/>
      <c r="CG738" s="5"/>
      <c r="CH738" s="5"/>
      <c r="CI738" s="5"/>
    </row>
    <row r="739" ht="14.25" customHeight="1">
      <c r="B739" s="1"/>
      <c r="D739" s="1"/>
      <c r="E739" s="33"/>
      <c r="F739" s="34"/>
      <c r="G739" s="5"/>
      <c r="H739" s="5"/>
      <c r="I739" s="5"/>
      <c r="J739" s="5"/>
      <c r="K739" s="5"/>
      <c r="L739" s="5"/>
      <c r="M739" s="32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  <c r="AE739" s="5"/>
      <c r="AF739" s="5"/>
      <c r="AG739" s="5"/>
      <c r="AH739" s="5"/>
      <c r="AI739" s="5"/>
      <c r="AJ739" s="5"/>
      <c r="AK739" s="5"/>
      <c r="AL739" s="5"/>
      <c r="AM739" s="5"/>
      <c r="AN739" s="5"/>
      <c r="AO739" s="5"/>
      <c r="AP739" s="5"/>
      <c r="AQ739" s="5"/>
      <c r="AR739" s="5"/>
      <c r="AS739" s="5"/>
      <c r="AT739" s="5"/>
      <c r="AU739" s="5"/>
      <c r="AV739" s="5"/>
      <c r="AW739" s="5"/>
      <c r="AX739" s="5"/>
      <c r="AY739" s="5"/>
      <c r="AZ739" s="5"/>
      <c r="BA739" s="5"/>
      <c r="BB739" s="5"/>
      <c r="BC739" s="5"/>
      <c r="BD739" s="5"/>
      <c r="BE739" s="5"/>
      <c r="BF739" s="5"/>
      <c r="BG739" s="5"/>
      <c r="BH739" s="5"/>
      <c r="BI739" s="5"/>
      <c r="BJ739" s="5"/>
      <c r="BK739" s="5"/>
      <c r="BL739" s="5"/>
      <c r="BM739" s="5"/>
      <c r="BN739" s="5"/>
      <c r="BO739" s="5"/>
      <c r="BP739" s="5"/>
      <c r="BQ739" s="5"/>
      <c r="BR739" s="5"/>
      <c r="BS739" s="5"/>
      <c r="BT739" s="5"/>
      <c r="BU739" s="5"/>
      <c r="BV739" s="5"/>
      <c r="BW739" s="5"/>
      <c r="BX739" s="5"/>
      <c r="BY739" s="5"/>
      <c r="BZ739" s="5"/>
      <c r="CA739" s="5"/>
      <c r="CB739" s="5"/>
      <c r="CC739" s="5"/>
      <c r="CD739" s="5"/>
      <c r="CE739" s="5"/>
      <c r="CF739" s="5"/>
      <c r="CG739" s="5"/>
      <c r="CH739" s="5"/>
      <c r="CI739" s="5"/>
    </row>
    <row r="740" ht="14.25" customHeight="1">
      <c r="B740" s="1"/>
      <c r="D740" s="1"/>
      <c r="E740" s="33"/>
      <c r="F740" s="34"/>
      <c r="G740" s="5"/>
      <c r="H740" s="5"/>
      <c r="I740" s="5"/>
      <c r="J740" s="5"/>
      <c r="K740" s="5"/>
      <c r="L740" s="5"/>
      <c r="M740" s="32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  <c r="AE740" s="5"/>
      <c r="AF740" s="5"/>
      <c r="AG740" s="5"/>
      <c r="AH740" s="5"/>
      <c r="AI740" s="5"/>
      <c r="AJ740" s="5"/>
      <c r="AK740" s="5"/>
      <c r="AL740" s="5"/>
      <c r="AM740" s="5"/>
      <c r="AN740" s="5"/>
      <c r="AO740" s="5"/>
      <c r="AP740" s="5"/>
      <c r="AQ740" s="5"/>
      <c r="AR740" s="5"/>
      <c r="AS740" s="5"/>
      <c r="AT740" s="5"/>
      <c r="AU740" s="5"/>
      <c r="AV740" s="5"/>
      <c r="AW740" s="5"/>
      <c r="AX740" s="5"/>
      <c r="AY740" s="5"/>
      <c r="AZ740" s="5"/>
      <c r="BA740" s="5"/>
      <c r="BB740" s="5"/>
      <c r="BC740" s="5"/>
      <c r="BD740" s="5"/>
      <c r="BE740" s="5"/>
      <c r="BF740" s="5"/>
      <c r="BG740" s="5"/>
      <c r="BH740" s="5"/>
      <c r="BI740" s="5"/>
      <c r="BJ740" s="5"/>
      <c r="BK740" s="5"/>
      <c r="BL740" s="5"/>
      <c r="BM740" s="5"/>
      <c r="BN740" s="5"/>
      <c r="BO740" s="5"/>
      <c r="BP740" s="5"/>
      <c r="BQ740" s="5"/>
      <c r="BR740" s="5"/>
      <c r="BS740" s="5"/>
      <c r="BT740" s="5"/>
      <c r="BU740" s="5"/>
      <c r="BV740" s="5"/>
      <c r="BW740" s="5"/>
      <c r="BX740" s="5"/>
      <c r="BY740" s="5"/>
      <c r="BZ740" s="5"/>
      <c r="CA740" s="5"/>
      <c r="CB740" s="5"/>
      <c r="CC740" s="5"/>
      <c r="CD740" s="5"/>
      <c r="CE740" s="5"/>
      <c r="CF740" s="5"/>
      <c r="CG740" s="5"/>
      <c r="CH740" s="5"/>
      <c r="CI740" s="5"/>
    </row>
    <row r="741" ht="14.25" customHeight="1">
      <c r="B741" s="1"/>
      <c r="D741" s="1"/>
      <c r="E741" s="33"/>
      <c r="F741" s="34"/>
      <c r="G741" s="5"/>
      <c r="H741" s="5"/>
      <c r="I741" s="5"/>
      <c r="J741" s="5"/>
      <c r="K741" s="5"/>
      <c r="L741" s="5"/>
      <c r="M741" s="32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  <c r="AE741" s="5"/>
      <c r="AF741" s="5"/>
      <c r="AG741" s="5"/>
      <c r="AH741" s="5"/>
      <c r="AI741" s="5"/>
      <c r="AJ741" s="5"/>
      <c r="AK741" s="5"/>
      <c r="AL741" s="5"/>
      <c r="AM741" s="5"/>
      <c r="AN741" s="5"/>
      <c r="AO741" s="5"/>
      <c r="AP741" s="5"/>
      <c r="AQ741" s="5"/>
      <c r="AR741" s="5"/>
      <c r="AS741" s="5"/>
      <c r="AT741" s="5"/>
      <c r="AU741" s="5"/>
      <c r="AV741" s="5"/>
      <c r="AW741" s="5"/>
      <c r="AX741" s="5"/>
      <c r="AY741" s="5"/>
      <c r="AZ741" s="5"/>
      <c r="BA741" s="5"/>
      <c r="BB741" s="5"/>
      <c r="BC741" s="5"/>
      <c r="BD741" s="5"/>
      <c r="BE741" s="5"/>
      <c r="BF741" s="5"/>
      <c r="BG741" s="5"/>
      <c r="BH741" s="5"/>
      <c r="BI741" s="5"/>
      <c r="BJ741" s="5"/>
      <c r="BK741" s="5"/>
      <c r="BL741" s="5"/>
      <c r="BM741" s="5"/>
      <c r="BN741" s="5"/>
      <c r="BO741" s="5"/>
      <c r="BP741" s="5"/>
      <c r="BQ741" s="5"/>
      <c r="BR741" s="5"/>
      <c r="BS741" s="5"/>
      <c r="BT741" s="5"/>
      <c r="BU741" s="5"/>
      <c r="BV741" s="5"/>
      <c r="BW741" s="5"/>
      <c r="BX741" s="5"/>
      <c r="BY741" s="5"/>
      <c r="BZ741" s="5"/>
      <c r="CA741" s="5"/>
      <c r="CB741" s="5"/>
      <c r="CC741" s="5"/>
      <c r="CD741" s="5"/>
      <c r="CE741" s="5"/>
      <c r="CF741" s="5"/>
      <c r="CG741" s="5"/>
      <c r="CH741" s="5"/>
      <c r="CI741" s="5"/>
    </row>
    <row r="742" ht="14.25" customHeight="1">
      <c r="B742" s="1"/>
      <c r="D742" s="1"/>
      <c r="E742" s="33"/>
      <c r="F742" s="34"/>
      <c r="G742" s="5"/>
      <c r="H742" s="5"/>
      <c r="I742" s="5"/>
      <c r="J742" s="5"/>
      <c r="K742" s="5"/>
      <c r="L742" s="5"/>
      <c r="M742" s="32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  <c r="AE742" s="5"/>
      <c r="AF742" s="5"/>
      <c r="AG742" s="5"/>
      <c r="AH742" s="5"/>
      <c r="AI742" s="5"/>
      <c r="AJ742" s="5"/>
      <c r="AK742" s="5"/>
      <c r="AL742" s="5"/>
      <c r="AM742" s="5"/>
      <c r="AN742" s="5"/>
      <c r="AO742" s="5"/>
      <c r="AP742" s="5"/>
      <c r="AQ742" s="5"/>
      <c r="AR742" s="5"/>
      <c r="AS742" s="5"/>
      <c r="AT742" s="5"/>
      <c r="AU742" s="5"/>
      <c r="AV742" s="5"/>
      <c r="AW742" s="5"/>
      <c r="AX742" s="5"/>
      <c r="AY742" s="5"/>
      <c r="AZ742" s="5"/>
      <c r="BA742" s="5"/>
      <c r="BB742" s="5"/>
      <c r="BC742" s="5"/>
      <c r="BD742" s="5"/>
      <c r="BE742" s="5"/>
      <c r="BF742" s="5"/>
      <c r="BG742" s="5"/>
      <c r="BH742" s="5"/>
      <c r="BI742" s="5"/>
      <c r="BJ742" s="5"/>
      <c r="BK742" s="5"/>
      <c r="BL742" s="5"/>
      <c r="BM742" s="5"/>
      <c r="BN742" s="5"/>
      <c r="BO742" s="5"/>
      <c r="BP742" s="5"/>
      <c r="BQ742" s="5"/>
      <c r="BR742" s="5"/>
      <c r="BS742" s="5"/>
      <c r="BT742" s="5"/>
      <c r="BU742" s="5"/>
      <c r="BV742" s="5"/>
      <c r="BW742" s="5"/>
      <c r="BX742" s="5"/>
      <c r="BY742" s="5"/>
      <c r="BZ742" s="5"/>
      <c r="CA742" s="5"/>
      <c r="CB742" s="5"/>
      <c r="CC742" s="5"/>
      <c r="CD742" s="5"/>
      <c r="CE742" s="5"/>
      <c r="CF742" s="5"/>
      <c r="CG742" s="5"/>
      <c r="CH742" s="5"/>
      <c r="CI742" s="5"/>
    </row>
    <row r="743" ht="14.25" customHeight="1">
      <c r="B743" s="1"/>
      <c r="D743" s="1"/>
      <c r="E743" s="33"/>
      <c r="F743" s="34"/>
      <c r="G743" s="5"/>
      <c r="H743" s="5"/>
      <c r="I743" s="5"/>
      <c r="J743" s="5"/>
      <c r="K743" s="5"/>
      <c r="L743" s="5"/>
      <c r="M743" s="32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  <c r="AE743" s="5"/>
      <c r="AF743" s="5"/>
      <c r="AG743" s="5"/>
      <c r="AH743" s="5"/>
      <c r="AI743" s="5"/>
      <c r="AJ743" s="5"/>
      <c r="AK743" s="5"/>
      <c r="AL743" s="5"/>
      <c r="AM743" s="5"/>
      <c r="AN743" s="5"/>
      <c r="AO743" s="5"/>
      <c r="AP743" s="5"/>
      <c r="AQ743" s="5"/>
      <c r="AR743" s="5"/>
      <c r="AS743" s="5"/>
      <c r="AT743" s="5"/>
      <c r="AU743" s="5"/>
      <c r="AV743" s="5"/>
      <c r="AW743" s="5"/>
      <c r="AX743" s="5"/>
      <c r="AY743" s="5"/>
      <c r="AZ743" s="5"/>
      <c r="BA743" s="5"/>
      <c r="BB743" s="5"/>
      <c r="BC743" s="5"/>
      <c r="BD743" s="5"/>
      <c r="BE743" s="5"/>
      <c r="BF743" s="5"/>
      <c r="BG743" s="5"/>
      <c r="BH743" s="5"/>
      <c r="BI743" s="5"/>
      <c r="BJ743" s="5"/>
      <c r="BK743" s="5"/>
      <c r="BL743" s="5"/>
      <c r="BM743" s="5"/>
      <c r="BN743" s="5"/>
      <c r="BO743" s="5"/>
      <c r="BP743" s="5"/>
      <c r="BQ743" s="5"/>
      <c r="BR743" s="5"/>
      <c r="BS743" s="5"/>
      <c r="BT743" s="5"/>
      <c r="BU743" s="5"/>
      <c r="BV743" s="5"/>
      <c r="BW743" s="5"/>
      <c r="BX743" s="5"/>
      <c r="BY743" s="5"/>
      <c r="BZ743" s="5"/>
      <c r="CA743" s="5"/>
      <c r="CB743" s="5"/>
      <c r="CC743" s="5"/>
      <c r="CD743" s="5"/>
      <c r="CE743" s="5"/>
      <c r="CF743" s="5"/>
      <c r="CG743" s="5"/>
      <c r="CH743" s="5"/>
      <c r="CI743" s="5"/>
    </row>
    <row r="744" ht="14.25" customHeight="1">
      <c r="B744" s="1"/>
      <c r="D744" s="1"/>
      <c r="E744" s="33"/>
      <c r="F744" s="34"/>
      <c r="G744" s="5"/>
      <c r="H744" s="5"/>
      <c r="I744" s="5"/>
      <c r="J744" s="5"/>
      <c r="K744" s="5"/>
      <c r="L744" s="5"/>
      <c r="M744" s="32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  <c r="AE744" s="5"/>
      <c r="AF744" s="5"/>
      <c r="AG744" s="5"/>
      <c r="AH744" s="5"/>
      <c r="AI744" s="5"/>
      <c r="AJ744" s="5"/>
      <c r="AK744" s="5"/>
      <c r="AL744" s="5"/>
      <c r="AM744" s="5"/>
      <c r="AN744" s="5"/>
      <c r="AO744" s="5"/>
      <c r="AP744" s="5"/>
      <c r="AQ744" s="5"/>
      <c r="AR744" s="5"/>
      <c r="AS744" s="5"/>
      <c r="AT744" s="5"/>
      <c r="AU744" s="5"/>
      <c r="AV744" s="5"/>
      <c r="AW744" s="5"/>
      <c r="AX744" s="5"/>
      <c r="AY744" s="5"/>
      <c r="AZ744" s="5"/>
      <c r="BA744" s="5"/>
      <c r="BB744" s="5"/>
      <c r="BC744" s="5"/>
      <c r="BD744" s="5"/>
      <c r="BE744" s="5"/>
      <c r="BF744" s="5"/>
      <c r="BG744" s="5"/>
      <c r="BH744" s="5"/>
      <c r="BI744" s="5"/>
      <c r="BJ744" s="5"/>
      <c r="BK744" s="5"/>
      <c r="BL744" s="5"/>
      <c r="BM744" s="5"/>
      <c r="BN744" s="5"/>
      <c r="BO744" s="5"/>
      <c r="BP744" s="5"/>
      <c r="BQ744" s="5"/>
      <c r="BR744" s="5"/>
      <c r="BS744" s="5"/>
      <c r="BT744" s="5"/>
      <c r="BU744" s="5"/>
      <c r="BV744" s="5"/>
      <c r="BW744" s="5"/>
      <c r="BX744" s="5"/>
      <c r="BY744" s="5"/>
      <c r="BZ744" s="5"/>
      <c r="CA744" s="5"/>
      <c r="CB744" s="5"/>
      <c r="CC744" s="5"/>
      <c r="CD744" s="5"/>
      <c r="CE744" s="5"/>
      <c r="CF744" s="5"/>
      <c r="CG744" s="5"/>
      <c r="CH744" s="5"/>
      <c r="CI744" s="5"/>
    </row>
    <row r="745" ht="14.25" customHeight="1">
      <c r="B745" s="1"/>
      <c r="D745" s="1"/>
      <c r="E745" s="33"/>
      <c r="F745" s="34"/>
      <c r="G745" s="5"/>
      <c r="H745" s="5"/>
      <c r="I745" s="5"/>
      <c r="J745" s="5"/>
      <c r="K745" s="5"/>
      <c r="L745" s="5"/>
      <c r="M745" s="32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  <c r="AG745" s="5"/>
      <c r="AH745" s="5"/>
      <c r="AI745" s="5"/>
      <c r="AJ745" s="5"/>
      <c r="AK745" s="5"/>
      <c r="AL745" s="5"/>
      <c r="AM745" s="5"/>
      <c r="AN745" s="5"/>
      <c r="AO745" s="5"/>
      <c r="AP745" s="5"/>
      <c r="AQ745" s="5"/>
      <c r="AR745" s="5"/>
      <c r="AS745" s="5"/>
      <c r="AT745" s="5"/>
      <c r="AU745" s="5"/>
      <c r="AV745" s="5"/>
      <c r="AW745" s="5"/>
      <c r="AX745" s="5"/>
      <c r="AY745" s="5"/>
      <c r="AZ745" s="5"/>
      <c r="BA745" s="5"/>
      <c r="BB745" s="5"/>
      <c r="BC745" s="5"/>
      <c r="BD745" s="5"/>
      <c r="BE745" s="5"/>
      <c r="BF745" s="5"/>
      <c r="BG745" s="5"/>
      <c r="BH745" s="5"/>
      <c r="BI745" s="5"/>
      <c r="BJ745" s="5"/>
      <c r="BK745" s="5"/>
      <c r="BL745" s="5"/>
      <c r="BM745" s="5"/>
      <c r="BN745" s="5"/>
      <c r="BO745" s="5"/>
      <c r="BP745" s="5"/>
      <c r="BQ745" s="5"/>
      <c r="BR745" s="5"/>
      <c r="BS745" s="5"/>
      <c r="BT745" s="5"/>
      <c r="BU745" s="5"/>
      <c r="BV745" s="5"/>
      <c r="BW745" s="5"/>
      <c r="BX745" s="5"/>
      <c r="BY745" s="5"/>
      <c r="BZ745" s="5"/>
      <c r="CA745" s="5"/>
      <c r="CB745" s="5"/>
      <c r="CC745" s="5"/>
      <c r="CD745" s="5"/>
      <c r="CE745" s="5"/>
      <c r="CF745" s="5"/>
      <c r="CG745" s="5"/>
      <c r="CH745" s="5"/>
      <c r="CI745" s="5"/>
    </row>
    <row r="746" ht="14.25" customHeight="1">
      <c r="B746" s="1"/>
      <c r="D746" s="1"/>
      <c r="E746" s="33"/>
      <c r="F746" s="34"/>
      <c r="G746" s="5"/>
      <c r="H746" s="5"/>
      <c r="I746" s="5"/>
      <c r="J746" s="5"/>
      <c r="K746" s="5"/>
      <c r="L746" s="5"/>
      <c r="M746" s="32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  <c r="AE746" s="5"/>
      <c r="AF746" s="5"/>
      <c r="AG746" s="5"/>
      <c r="AH746" s="5"/>
      <c r="AI746" s="5"/>
      <c r="AJ746" s="5"/>
      <c r="AK746" s="5"/>
      <c r="AL746" s="5"/>
      <c r="AM746" s="5"/>
      <c r="AN746" s="5"/>
      <c r="AO746" s="5"/>
      <c r="AP746" s="5"/>
      <c r="AQ746" s="5"/>
      <c r="AR746" s="5"/>
      <c r="AS746" s="5"/>
      <c r="AT746" s="5"/>
      <c r="AU746" s="5"/>
      <c r="AV746" s="5"/>
      <c r="AW746" s="5"/>
      <c r="AX746" s="5"/>
      <c r="AY746" s="5"/>
      <c r="AZ746" s="5"/>
      <c r="BA746" s="5"/>
      <c r="BB746" s="5"/>
      <c r="BC746" s="5"/>
      <c r="BD746" s="5"/>
      <c r="BE746" s="5"/>
      <c r="BF746" s="5"/>
      <c r="BG746" s="5"/>
      <c r="BH746" s="5"/>
      <c r="BI746" s="5"/>
      <c r="BJ746" s="5"/>
      <c r="BK746" s="5"/>
      <c r="BL746" s="5"/>
      <c r="BM746" s="5"/>
      <c r="BN746" s="5"/>
      <c r="BO746" s="5"/>
      <c r="BP746" s="5"/>
      <c r="BQ746" s="5"/>
      <c r="BR746" s="5"/>
      <c r="BS746" s="5"/>
      <c r="BT746" s="5"/>
      <c r="BU746" s="5"/>
      <c r="BV746" s="5"/>
      <c r="BW746" s="5"/>
      <c r="BX746" s="5"/>
      <c r="BY746" s="5"/>
      <c r="BZ746" s="5"/>
      <c r="CA746" s="5"/>
      <c r="CB746" s="5"/>
      <c r="CC746" s="5"/>
      <c r="CD746" s="5"/>
      <c r="CE746" s="5"/>
      <c r="CF746" s="5"/>
      <c r="CG746" s="5"/>
      <c r="CH746" s="5"/>
      <c r="CI746" s="5"/>
    </row>
    <row r="747" ht="14.25" customHeight="1">
      <c r="B747" s="1"/>
      <c r="D747" s="1"/>
      <c r="E747" s="33"/>
      <c r="F747" s="34"/>
      <c r="G747" s="5"/>
      <c r="H747" s="5"/>
      <c r="I747" s="5"/>
      <c r="J747" s="5"/>
      <c r="K747" s="5"/>
      <c r="L747" s="5"/>
      <c r="M747" s="32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  <c r="AE747" s="5"/>
      <c r="AF747" s="5"/>
      <c r="AG747" s="5"/>
      <c r="AH747" s="5"/>
      <c r="AI747" s="5"/>
      <c r="AJ747" s="5"/>
      <c r="AK747" s="5"/>
      <c r="AL747" s="5"/>
      <c r="AM747" s="5"/>
      <c r="AN747" s="5"/>
      <c r="AO747" s="5"/>
      <c r="AP747" s="5"/>
      <c r="AQ747" s="5"/>
      <c r="AR747" s="5"/>
      <c r="AS747" s="5"/>
      <c r="AT747" s="5"/>
      <c r="AU747" s="5"/>
      <c r="AV747" s="5"/>
      <c r="AW747" s="5"/>
      <c r="AX747" s="5"/>
      <c r="AY747" s="5"/>
      <c r="AZ747" s="5"/>
      <c r="BA747" s="5"/>
      <c r="BB747" s="5"/>
      <c r="BC747" s="5"/>
      <c r="BD747" s="5"/>
      <c r="BE747" s="5"/>
      <c r="BF747" s="5"/>
      <c r="BG747" s="5"/>
      <c r="BH747" s="5"/>
      <c r="BI747" s="5"/>
      <c r="BJ747" s="5"/>
      <c r="BK747" s="5"/>
      <c r="BL747" s="5"/>
      <c r="BM747" s="5"/>
      <c r="BN747" s="5"/>
      <c r="BO747" s="5"/>
      <c r="BP747" s="5"/>
      <c r="BQ747" s="5"/>
      <c r="BR747" s="5"/>
      <c r="BS747" s="5"/>
      <c r="BT747" s="5"/>
      <c r="BU747" s="5"/>
      <c r="BV747" s="5"/>
      <c r="BW747" s="5"/>
      <c r="BX747" s="5"/>
      <c r="BY747" s="5"/>
      <c r="BZ747" s="5"/>
      <c r="CA747" s="5"/>
      <c r="CB747" s="5"/>
      <c r="CC747" s="5"/>
      <c r="CD747" s="5"/>
      <c r="CE747" s="5"/>
      <c r="CF747" s="5"/>
      <c r="CG747" s="5"/>
      <c r="CH747" s="5"/>
      <c r="CI747" s="5"/>
    </row>
    <row r="748" ht="14.25" customHeight="1">
      <c r="B748" s="1"/>
      <c r="D748" s="1"/>
      <c r="E748" s="33"/>
      <c r="F748" s="34"/>
      <c r="G748" s="5"/>
      <c r="H748" s="5"/>
      <c r="I748" s="5"/>
      <c r="J748" s="5"/>
      <c r="K748" s="5"/>
      <c r="L748" s="5"/>
      <c r="M748" s="32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  <c r="AG748" s="5"/>
      <c r="AH748" s="5"/>
      <c r="AI748" s="5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5"/>
      <c r="AW748" s="5"/>
      <c r="AX748" s="5"/>
      <c r="AY748" s="5"/>
      <c r="AZ748" s="5"/>
      <c r="BA748" s="5"/>
      <c r="BB748" s="5"/>
      <c r="BC748" s="5"/>
      <c r="BD748" s="5"/>
      <c r="BE748" s="5"/>
      <c r="BF748" s="5"/>
      <c r="BG748" s="5"/>
      <c r="BH748" s="5"/>
      <c r="BI748" s="5"/>
      <c r="BJ748" s="5"/>
      <c r="BK748" s="5"/>
      <c r="BL748" s="5"/>
      <c r="BM748" s="5"/>
      <c r="BN748" s="5"/>
      <c r="BO748" s="5"/>
      <c r="BP748" s="5"/>
      <c r="BQ748" s="5"/>
      <c r="BR748" s="5"/>
      <c r="BS748" s="5"/>
      <c r="BT748" s="5"/>
      <c r="BU748" s="5"/>
      <c r="BV748" s="5"/>
      <c r="BW748" s="5"/>
      <c r="BX748" s="5"/>
      <c r="BY748" s="5"/>
      <c r="BZ748" s="5"/>
      <c r="CA748" s="5"/>
      <c r="CB748" s="5"/>
      <c r="CC748" s="5"/>
      <c r="CD748" s="5"/>
      <c r="CE748" s="5"/>
      <c r="CF748" s="5"/>
      <c r="CG748" s="5"/>
      <c r="CH748" s="5"/>
      <c r="CI748" s="5"/>
    </row>
    <row r="749" ht="14.25" customHeight="1">
      <c r="B749" s="1"/>
      <c r="D749" s="1"/>
      <c r="E749" s="33"/>
      <c r="F749" s="34"/>
      <c r="G749" s="5"/>
      <c r="H749" s="5"/>
      <c r="I749" s="5"/>
      <c r="J749" s="5"/>
      <c r="K749" s="5"/>
      <c r="L749" s="5"/>
      <c r="M749" s="32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  <c r="AE749" s="5"/>
      <c r="AF749" s="5"/>
      <c r="AG749" s="5"/>
      <c r="AH749" s="5"/>
      <c r="AI749" s="5"/>
      <c r="AJ749" s="5"/>
      <c r="AK749" s="5"/>
      <c r="AL749" s="5"/>
      <c r="AM749" s="5"/>
      <c r="AN749" s="5"/>
      <c r="AO749" s="5"/>
      <c r="AP749" s="5"/>
      <c r="AQ749" s="5"/>
      <c r="AR749" s="5"/>
      <c r="AS749" s="5"/>
      <c r="AT749" s="5"/>
      <c r="AU749" s="5"/>
      <c r="AV749" s="5"/>
      <c r="AW749" s="5"/>
      <c r="AX749" s="5"/>
      <c r="AY749" s="5"/>
      <c r="AZ749" s="5"/>
      <c r="BA749" s="5"/>
      <c r="BB749" s="5"/>
      <c r="BC749" s="5"/>
      <c r="BD749" s="5"/>
      <c r="BE749" s="5"/>
      <c r="BF749" s="5"/>
      <c r="BG749" s="5"/>
      <c r="BH749" s="5"/>
      <c r="BI749" s="5"/>
      <c r="BJ749" s="5"/>
      <c r="BK749" s="5"/>
      <c r="BL749" s="5"/>
      <c r="BM749" s="5"/>
      <c r="BN749" s="5"/>
      <c r="BO749" s="5"/>
      <c r="BP749" s="5"/>
      <c r="BQ749" s="5"/>
      <c r="BR749" s="5"/>
      <c r="BS749" s="5"/>
      <c r="BT749" s="5"/>
      <c r="BU749" s="5"/>
      <c r="BV749" s="5"/>
      <c r="BW749" s="5"/>
      <c r="BX749" s="5"/>
      <c r="BY749" s="5"/>
      <c r="BZ749" s="5"/>
      <c r="CA749" s="5"/>
      <c r="CB749" s="5"/>
      <c r="CC749" s="5"/>
      <c r="CD749" s="5"/>
      <c r="CE749" s="5"/>
      <c r="CF749" s="5"/>
      <c r="CG749" s="5"/>
      <c r="CH749" s="5"/>
      <c r="CI749" s="5"/>
    </row>
    <row r="750" ht="14.25" customHeight="1">
      <c r="B750" s="1"/>
      <c r="D750" s="1"/>
      <c r="E750" s="33"/>
      <c r="F750" s="34"/>
      <c r="G750" s="5"/>
      <c r="H750" s="5"/>
      <c r="I750" s="5"/>
      <c r="J750" s="5"/>
      <c r="K750" s="5"/>
      <c r="L750" s="5"/>
      <c r="M750" s="32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  <c r="AE750" s="5"/>
      <c r="AF750" s="5"/>
      <c r="AG750" s="5"/>
      <c r="AH750" s="5"/>
      <c r="AI750" s="5"/>
      <c r="AJ750" s="5"/>
      <c r="AK750" s="5"/>
      <c r="AL750" s="5"/>
      <c r="AM750" s="5"/>
      <c r="AN750" s="5"/>
      <c r="AO750" s="5"/>
      <c r="AP750" s="5"/>
      <c r="AQ750" s="5"/>
      <c r="AR750" s="5"/>
      <c r="AS750" s="5"/>
      <c r="AT750" s="5"/>
      <c r="AU750" s="5"/>
      <c r="AV750" s="5"/>
      <c r="AW750" s="5"/>
      <c r="AX750" s="5"/>
      <c r="AY750" s="5"/>
      <c r="AZ750" s="5"/>
      <c r="BA750" s="5"/>
      <c r="BB750" s="5"/>
      <c r="BC750" s="5"/>
      <c r="BD750" s="5"/>
      <c r="BE750" s="5"/>
      <c r="BF750" s="5"/>
      <c r="BG750" s="5"/>
      <c r="BH750" s="5"/>
      <c r="BI750" s="5"/>
      <c r="BJ750" s="5"/>
      <c r="BK750" s="5"/>
      <c r="BL750" s="5"/>
      <c r="BM750" s="5"/>
      <c r="BN750" s="5"/>
      <c r="BO750" s="5"/>
      <c r="BP750" s="5"/>
      <c r="BQ750" s="5"/>
      <c r="BR750" s="5"/>
      <c r="BS750" s="5"/>
      <c r="BT750" s="5"/>
      <c r="BU750" s="5"/>
      <c r="BV750" s="5"/>
      <c r="BW750" s="5"/>
      <c r="BX750" s="5"/>
      <c r="BY750" s="5"/>
      <c r="BZ750" s="5"/>
      <c r="CA750" s="5"/>
      <c r="CB750" s="5"/>
      <c r="CC750" s="5"/>
      <c r="CD750" s="5"/>
      <c r="CE750" s="5"/>
      <c r="CF750" s="5"/>
      <c r="CG750" s="5"/>
      <c r="CH750" s="5"/>
      <c r="CI750" s="5"/>
    </row>
    <row r="751" ht="14.25" customHeight="1">
      <c r="B751" s="1"/>
      <c r="D751" s="1"/>
      <c r="E751" s="33"/>
      <c r="F751" s="34"/>
      <c r="G751" s="5"/>
      <c r="H751" s="5"/>
      <c r="I751" s="5"/>
      <c r="J751" s="5"/>
      <c r="K751" s="5"/>
      <c r="L751" s="5"/>
      <c r="M751" s="32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  <c r="AE751" s="5"/>
      <c r="AF751" s="5"/>
      <c r="AG751" s="5"/>
      <c r="AH751" s="5"/>
      <c r="AI751" s="5"/>
      <c r="AJ751" s="5"/>
      <c r="AK751" s="5"/>
      <c r="AL751" s="5"/>
      <c r="AM751" s="5"/>
      <c r="AN751" s="5"/>
      <c r="AO751" s="5"/>
      <c r="AP751" s="5"/>
      <c r="AQ751" s="5"/>
      <c r="AR751" s="5"/>
      <c r="AS751" s="5"/>
      <c r="AT751" s="5"/>
      <c r="AU751" s="5"/>
      <c r="AV751" s="5"/>
      <c r="AW751" s="5"/>
      <c r="AX751" s="5"/>
      <c r="AY751" s="5"/>
      <c r="AZ751" s="5"/>
      <c r="BA751" s="5"/>
      <c r="BB751" s="5"/>
      <c r="BC751" s="5"/>
      <c r="BD751" s="5"/>
      <c r="BE751" s="5"/>
      <c r="BF751" s="5"/>
      <c r="BG751" s="5"/>
      <c r="BH751" s="5"/>
      <c r="BI751" s="5"/>
      <c r="BJ751" s="5"/>
      <c r="BK751" s="5"/>
      <c r="BL751" s="5"/>
      <c r="BM751" s="5"/>
      <c r="BN751" s="5"/>
      <c r="BO751" s="5"/>
      <c r="BP751" s="5"/>
      <c r="BQ751" s="5"/>
      <c r="BR751" s="5"/>
      <c r="BS751" s="5"/>
      <c r="BT751" s="5"/>
      <c r="BU751" s="5"/>
      <c r="BV751" s="5"/>
      <c r="BW751" s="5"/>
      <c r="BX751" s="5"/>
      <c r="BY751" s="5"/>
      <c r="BZ751" s="5"/>
      <c r="CA751" s="5"/>
      <c r="CB751" s="5"/>
      <c r="CC751" s="5"/>
      <c r="CD751" s="5"/>
      <c r="CE751" s="5"/>
      <c r="CF751" s="5"/>
      <c r="CG751" s="5"/>
      <c r="CH751" s="5"/>
      <c r="CI751" s="5"/>
    </row>
    <row r="752" ht="14.25" customHeight="1">
      <c r="B752" s="1"/>
      <c r="D752" s="1"/>
      <c r="E752" s="33"/>
      <c r="F752" s="34"/>
      <c r="G752" s="5"/>
      <c r="H752" s="5"/>
      <c r="I752" s="5"/>
      <c r="J752" s="5"/>
      <c r="K752" s="5"/>
      <c r="L752" s="5"/>
      <c r="M752" s="32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  <c r="AE752" s="5"/>
      <c r="AF752" s="5"/>
      <c r="AG752" s="5"/>
      <c r="AH752" s="5"/>
      <c r="AI752" s="5"/>
      <c r="AJ752" s="5"/>
      <c r="AK752" s="5"/>
      <c r="AL752" s="5"/>
      <c r="AM752" s="5"/>
      <c r="AN752" s="5"/>
      <c r="AO752" s="5"/>
      <c r="AP752" s="5"/>
      <c r="AQ752" s="5"/>
      <c r="AR752" s="5"/>
      <c r="AS752" s="5"/>
      <c r="AT752" s="5"/>
      <c r="AU752" s="5"/>
      <c r="AV752" s="5"/>
      <c r="AW752" s="5"/>
      <c r="AX752" s="5"/>
      <c r="AY752" s="5"/>
      <c r="AZ752" s="5"/>
      <c r="BA752" s="5"/>
      <c r="BB752" s="5"/>
      <c r="BC752" s="5"/>
      <c r="BD752" s="5"/>
      <c r="BE752" s="5"/>
      <c r="BF752" s="5"/>
      <c r="BG752" s="5"/>
      <c r="BH752" s="5"/>
      <c r="BI752" s="5"/>
      <c r="BJ752" s="5"/>
      <c r="BK752" s="5"/>
      <c r="BL752" s="5"/>
      <c r="BM752" s="5"/>
      <c r="BN752" s="5"/>
      <c r="BO752" s="5"/>
      <c r="BP752" s="5"/>
      <c r="BQ752" s="5"/>
      <c r="BR752" s="5"/>
      <c r="BS752" s="5"/>
      <c r="BT752" s="5"/>
      <c r="BU752" s="5"/>
      <c r="BV752" s="5"/>
      <c r="BW752" s="5"/>
      <c r="BX752" s="5"/>
      <c r="BY752" s="5"/>
      <c r="BZ752" s="5"/>
      <c r="CA752" s="5"/>
      <c r="CB752" s="5"/>
      <c r="CC752" s="5"/>
      <c r="CD752" s="5"/>
      <c r="CE752" s="5"/>
      <c r="CF752" s="5"/>
      <c r="CG752" s="5"/>
      <c r="CH752" s="5"/>
      <c r="CI752" s="5"/>
    </row>
    <row r="753" ht="14.25" customHeight="1">
      <c r="B753" s="1"/>
      <c r="D753" s="1"/>
      <c r="E753" s="33"/>
      <c r="F753" s="34"/>
      <c r="G753" s="5"/>
      <c r="H753" s="5"/>
      <c r="I753" s="5"/>
      <c r="J753" s="5"/>
      <c r="K753" s="5"/>
      <c r="L753" s="5"/>
      <c r="M753" s="32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  <c r="AE753" s="5"/>
      <c r="AF753" s="5"/>
      <c r="AG753" s="5"/>
      <c r="AH753" s="5"/>
      <c r="AI753" s="5"/>
      <c r="AJ753" s="5"/>
      <c r="AK753" s="5"/>
      <c r="AL753" s="5"/>
      <c r="AM753" s="5"/>
      <c r="AN753" s="5"/>
      <c r="AO753" s="5"/>
      <c r="AP753" s="5"/>
      <c r="AQ753" s="5"/>
      <c r="AR753" s="5"/>
      <c r="AS753" s="5"/>
      <c r="AT753" s="5"/>
      <c r="AU753" s="5"/>
      <c r="AV753" s="5"/>
      <c r="AW753" s="5"/>
      <c r="AX753" s="5"/>
      <c r="AY753" s="5"/>
      <c r="AZ753" s="5"/>
      <c r="BA753" s="5"/>
      <c r="BB753" s="5"/>
      <c r="BC753" s="5"/>
      <c r="BD753" s="5"/>
      <c r="BE753" s="5"/>
      <c r="BF753" s="5"/>
      <c r="BG753" s="5"/>
      <c r="BH753" s="5"/>
      <c r="BI753" s="5"/>
      <c r="BJ753" s="5"/>
      <c r="BK753" s="5"/>
      <c r="BL753" s="5"/>
      <c r="BM753" s="5"/>
      <c r="BN753" s="5"/>
      <c r="BO753" s="5"/>
      <c r="BP753" s="5"/>
      <c r="BQ753" s="5"/>
      <c r="BR753" s="5"/>
      <c r="BS753" s="5"/>
      <c r="BT753" s="5"/>
      <c r="BU753" s="5"/>
      <c r="BV753" s="5"/>
      <c r="BW753" s="5"/>
      <c r="BX753" s="5"/>
      <c r="BY753" s="5"/>
      <c r="BZ753" s="5"/>
      <c r="CA753" s="5"/>
      <c r="CB753" s="5"/>
      <c r="CC753" s="5"/>
      <c r="CD753" s="5"/>
      <c r="CE753" s="5"/>
      <c r="CF753" s="5"/>
      <c r="CG753" s="5"/>
      <c r="CH753" s="5"/>
      <c r="CI753" s="5"/>
    </row>
    <row r="754" ht="14.25" customHeight="1">
      <c r="B754" s="1"/>
      <c r="D754" s="1"/>
      <c r="E754" s="33"/>
      <c r="F754" s="34"/>
      <c r="G754" s="5"/>
      <c r="H754" s="5"/>
      <c r="I754" s="5"/>
      <c r="J754" s="5"/>
      <c r="K754" s="5"/>
      <c r="L754" s="5"/>
      <c r="M754" s="32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  <c r="AE754" s="5"/>
      <c r="AF754" s="5"/>
      <c r="AG754" s="5"/>
      <c r="AH754" s="5"/>
      <c r="AI754" s="5"/>
      <c r="AJ754" s="5"/>
      <c r="AK754" s="5"/>
      <c r="AL754" s="5"/>
      <c r="AM754" s="5"/>
      <c r="AN754" s="5"/>
      <c r="AO754" s="5"/>
      <c r="AP754" s="5"/>
      <c r="AQ754" s="5"/>
      <c r="AR754" s="5"/>
      <c r="AS754" s="5"/>
      <c r="AT754" s="5"/>
      <c r="AU754" s="5"/>
      <c r="AV754" s="5"/>
      <c r="AW754" s="5"/>
      <c r="AX754" s="5"/>
      <c r="AY754" s="5"/>
      <c r="AZ754" s="5"/>
      <c r="BA754" s="5"/>
      <c r="BB754" s="5"/>
      <c r="BC754" s="5"/>
      <c r="BD754" s="5"/>
      <c r="BE754" s="5"/>
      <c r="BF754" s="5"/>
      <c r="BG754" s="5"/>
      <c r="BH754" s="5"/>
      <c r="BI754" s="5"/>
      <c r="BJ754" s="5"/>
      <c r="BK754" s="5"/>
      <c r="BL754" s="5"/>
      <c r="BM754" s="5"/>
      <c r="BN754" s="5"/>
      <c r="BO754" s="5"/>
      <c r="BP754" s="5"/>
      <c r="BQ754" s="5"/>
      <c r="BR754" s="5"/>
      <c r="BS754" s="5"/>
      <c r="BT754" s="5"/>
      <c r="BU754" s="5"/>
      <c r="BV754" s="5"/>
      <c r="BW754" s="5"/>
      <c r="BX754" s="5"/>
      <c r="BY754" s="5"/>
      <c r="BZ754" s="5"/>
      <c r="CA754" s="5"/>
      <c r="CB754" s="5"/>
      <c r="CC754" s="5"/>
      <c r="CD754" s="5"/>
      <c r="CE754" s="5"/>
      <c r="CF754" s="5"/>
      <c r="CG754" s="5"/>
      <c r="CH754" s="5"/>
      <c r="CI754" s="5"/>
    </row>
    <row r="755" ht="14.25" customHeight="1">
      <c r="B755" s="1"/>
      <c r="D755" s="1"/>
      <c r="E755" s="33"/>
      <c r="F755" s="34"/>
      <c r="G755" s="5"/>
      <c r="H755" s="5"/>
      <c r="I755" s="5"/>
      <c r="J755" s="5"/>
      <c r="K755" s="5"/>
      <c r="L755" s="5"/>
      <c r="M755" s="32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  <c r="AE755" s="5"/>
      <c r="AF755" s="5"/>
      <c r="AG755" s="5"/>
      <c r="AH755" s="5"/>
      <c r="AI755" s="5"/>
      <c r="AJ755" s="5"/>
      <c r="AK755" s="5"/>
      <c r="AL755" s="5"/>
      <c r="AM755" s="5"/>
      <c r="AN755" s="5"/>
      <c r="AO755" s="5"/>
      <c r="AP755" s="5"/>
      <c r="AQ755" s="5"/>
      <c r="AR755" s="5"/>
      <c r="AS755" s="5"/>
      <c r="AT755" s="5"/>
      <c r="AU755" s="5"/>
      <c r="AV755" s="5"/>
      <c r="AW755" s="5"/>
      <c r="AX755" s="5"/>
      <c r="AY755" s="5"/>
      <c r="AZ755" s="5"/>
      <c r="BA755" s="5"/>
      <c r="BB755" s="5"/>
      <c r="BC755" s="5"/>
      <c r="BD755" s="5"/>
      <c r="BE755" s="5"/>
      <c r="BF755" s="5"/>
      <c r="BG755" s="5"/>
      <c r="BH755" s="5"/>
      <c r="BI755" s="5"/>
      <c r="BJ755" s="5"/>
      <c r="BK755" s="5"/>
      <c r="BL755" s="5"/>
      <c r="BM755" s="5"/>
      <c r="BN755" s="5"/>
      <c r="BO755" s="5"/>
      <c r="BP755" s="5"/>
      <c r="BQ755" s="5"/>
      <c r="BR755" s="5"/>
      <c r="BS755" s="5"/>
      <c r="BT755" s="5"/>
      <c r="BU755" s="5"/>
      <c r="BV755" s="5"/>
      <c r="BW755" s="5"/>
      <c r="BX755" s="5"/>
      <c r="BY755" s="5"/>
      <c r="BZ755" s="5"/>
      <c r="CA755" s="5"/>
      <c r="CB755" s="5"/>
      <c r="CC755" s="5"/>
      <c r="CD755" s="5"/>
      <c r="CE755" s="5"/>
      <c r="CF755" s="5"/>
      <c r="CG755" s="5"/>
      <c r="CH755" s="5"/>
      <c r="CI755" s="5"/>
    </row>
    <row r="756" ht="14.25" customHeight="1">
      <c r="B756" s="1"/>
      <c r="D756" s="1"/>
      <c r="E756" s="33"/>
      <c r="F756" s="34"/>
      <c r="G756" s="5"/>
      <c r="H756" s="5"/>
      <c r="I756" s="5"/>
      <c r="J756" s="5"/>
      <c r="K756" s="5"/>
      <c r="L756" s="5"/>
      <c r="M756" s="32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  <c r="AE756" s="5"/>
      <c r="AF756" s="5"/>
      <c r="AG756" s="5"/>
      <c r="AH756" s="5"/>
      <c r="AI756" s="5"/>
      <c r="AJ756" s="5"/>
      <c r="AK756" s="5"/>
      <c r="AL756" s="5"/>
      <c r="AM756" s="5"/>
      <c r="AN756" s="5"/>
      <c r="AO756" s="5"/>
      <c r="AP756" s="5"/>
      <c r="AQ756" s="5"/>
      <c r="AR756" s="5"/>
      <c r="AS756" s="5"/>
      <c r="AT756" s="5"/>
      <c r="AU756" s="5"/>
      <c r="AV756" s="5"/>
      <c r="AW756" s="5"/>
      <c r="AX756" s="5"/>
      <c r="AY756" s="5"/>
      <c r="AZ756" s="5"/>
      <c r="BA756" s="5"/>
      <c r="BB756" s="5"/>
      <c r="BC756" s="5"/>
      <c r="BD756" s="5"/>
      <c r="BE756" s="5"/>
      <c r="BF756" s="5"/>
      <c r="BG756" s="5"/>
      <c r="BH756" s="5"/>
      <c r="BI756" s="5"/>
      <c r="BJ756" s="5"/>
      <c r="BK756" s="5"/>
      <c r="BL756" s="5"/>
      <c r="BM756" s="5"/>
      <c r="BN756" s="5"/>
      <c r="BO756" s="5"/>
      <c r="BP756" s="5"/>
      <c r="BQ756" s="5"/>
      <c r="BR756" s="5"/>
      <c r="BS756" s="5"/>
      <c r="BT756" s="5"/>
      <c r="BU756" s="5"/>
      <c r="BV756" s="5"/>
      <c r="BW756" s="5"/>
      <c r="BX756" s="5"/>
      <c r="BY756" s="5"/>
      <c r="BZ756" s="5"/>
      <c r="CA756" s="5"/>
      <c r="CB756" s="5"/>
      <c r="CC756" s="5"/>
      <c r="CD756" s="5"/>
      <c r="CE756" s="5"/>
      <c r="CF756" s="5"/>
      <c r="CG756" s="5"/>
      <c r="CH756" s="5"/>
      <c r="CI756" s="5"/>
    </row>
    <row r="757" ht="14.25" customHeight="1">
      <c r="B757" s="1"/>
      <c r="D757" s="1"/>
      <c r="E757" s="33"/>
      <c r="F757" s="34"/>
      <c r="G757" s="5"/>
      <c r="H757" s="5"/>
      <c r="I757" s="5"/>
      <c r="J757" s="5"/>
      <c r="K757" s="5"/>
      <c r="L757" s="5"/>
      <c r="M757" s="32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  <c r="AE757" s="5"/>
      <c r="AF757" s="5"/>
      <c r="AG757" s="5"/>
      <c r="AH757" s="5"/>
      <c r="AI757" s="5"/>
      <c r="AJ757" s="5"/>
      <c r="AK757" s="5"/>
      <c r="AL757" s="5"/>
      <c r="AM757" s="5"/>
      <c r="AN757" s="5"/>
      <c r="AO757" s="5"/>
      <c r="AP757" s="5"/>
      <c r="AQ757" s="5"/>
      <c r="AR757" s="5"/>
      <c r="AS757" s="5"/>
      <c r="AT757" s="5"/>
      <c r="AU757" s="5"/>
      <c r="AV757" s="5"/>
      <c r="AW757" s="5"/>
      <c r="AX757" s="5"/>
      <c r="AY757" s="5"/>
      <c r="AZ757" s="5"/>
      <c r="BA757" s="5"/>
      <c r="BB757" s="5"/>
      <c r="BC757" s="5"/>
      <c r="BD757" s="5"/>
      <c r="BE757" s="5"/>
      <c r="BF757" s="5"/>
      <c r="BG757" s="5"/>
      <c r="BH757" s="5"/>
      <c r="BI757" s="5"/>
      <c r="BJ757" s="5"/>
      <c r="BK757" s="5"/>
      <c r="BL757" s="5"/>
      <c r="BM757" s="5"/>
      <c r="BN757" s="5"/>
      <c r="BO757" s="5"/>
      <c r="BP757" s="5"/>
      <c r="BQ757" s="5"/>
      <c r="BR757" s="5"/>
      <c r="BS757" s="5"/>
      <c r="BT757" s="5"/>
      <c r="BU757" s="5"/>
      <c r="BV757" s="5"/>
      <c r="BW757" s="5"/>
      <c r="BX757" s="5"/>
      <c r="BY757" s="5"/>
      <c r="BZ757" s="5"/>
      <c r="CA757" s="5"/>
      <c r="CB757" s="5"/>
      <c r="CC757" s="5"/>
      <c r="CD757" s="5"/>
      <c r="CE757" s="5"/>
      <c r="CF757" s="5"/>
      <c r="CG757" s="5"/>
      <c r="CH757" s="5"/>
      <c r="CI757" s="5"/>
    </row>
    <row r="758" ht="14.25" customHeight="1">
      <c r="B758" s="1"/>
      <c r="D758" s="1"/>
      <c r="E758" s="33"/>
      <c r="F758" s="34"/>
      <c r="G758" s="5"/>
      <c r="H758" s="5"/>
      <c r="I758" s="5"/>
      <c r="J758" s="5"/>
      <c r="K758" s="5"/>
      <c r="L758" s="5"/>
      <c r="M758" s="32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  <c r="AE758" s="5"/>
      <c r="AF758" s="5"/>
      <c r="AG758" s="5"/>
      <c r="AH758" s="5"/>
      <c r="AI758" s="5"/>
      <c r="AJ758" s="5"/>
      <c r="AK758" s="5"/>
      <c r="AL758" s="5"/>
      <c r="AM758" s="5"/>
      <c r="AN758" s="5"/>
      <c r="AO758" s="5"/>
      <c r="AP758" s="5"/>
      <c r="AQ758" s="5"/>
      <c r="AR758" s="5"/>
      <c r="AS758" s="5"/>
      <c r="AT758" s="5"/>
      <c r="AU758" s="5"/>
      <c r="AV758" s="5"/>
      <c r="AW758" s="5"/>
      <c r="AX758" s="5"/>
      <c r="AY758" s="5"/>
      <c r="AZ758" s="5"/>
      <c r="BA758" s="5"/>
      <c r="BB758" s="5"/>
      <c r="BC758" s="5"/>
      <c r="BD758" s="5"/>
      <c r="BE758" s="5"/>
      <c r="BF758" s="5"/>
      <c r="BG758" s="5"/>
      <c r="BH758" s="5"/>
      <c r="BI758" s="5"/>
      <c r="BJ758" s="5"/>
      <c r="BK758" s="5"/>
      <c r="BL758" s="5"/>
      <c r="BM758" s="5"/>
      <c r="BN758" s="5"/>
      <c r="BO758" s="5"/>
      <c r="BP758" s="5"/>
      <c r="BQ758" s="5"/>
      <c r="BR758" s="5"/>
      <c r="BS758" s="5"/>
      <c r="BT758" s="5"/>
      <c r="BU758" s="5"/>
      <c r="BV758" s="5"/>
      <c r="BW758" s="5"/>
      <c r="BX758" s="5"/>
      <c r="BY758" s="5"/>
      <c r="BZ758" s="5"/>
      <c r="CA758" s="5"/>
      <c r="CB758" s="5"/>
      <c r="CC758" s="5"/>
      <c r="CD758" s="5"/>
      <c r="CE758" s="5"/>
      <c r="CF758" s="5"/>
      <c r="CG758" s="5"/>
      <c r="CH758" s="5"/>
      <c r="CI758" s="5"/>
    </row>
    <row r="759" ht="14.25" customHeight="1">
      <c r="B759" s="1"/>
      <c r="D759" s="1"/>
      <c r="E759" s="33"/>
      <c r="F759" s="34"/>
      <c r="G759" s="5"/>
      <c r="H759" s="5"/>
      <c r="I759" s="5"/>
      <c r="J759" s="5"/>
      <c r="K759" s="5"/>
      <c r="L759" s="5"/>
      <c r="M759" s="32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  <c r="AG759" s="5"/>
      <c r="AH759" s="5"/>
      <c r="AI759" s="5"/>
      <c r="AJ759" s="5"/>
      <c r="AK759" s="5"/>
      <c r="AL759" s="5"/>
      <c r="AM759" s="5"/>
      <c r="AN759" s="5"/>
      <c r="AO759" s="5"/>
      <c r="AP759" s="5"/>
      <c r="AQ759" s="5"/>
      <c r="AR759" s="5"/>
      <c r="AS759" s="5"/>
      <c r="AT759" s="5"/>
      <c r="AU759" s="5"/>
      <c r="AV759" s="5"/>
      <c r="AW759" s="5"/>
      <c r="AX759" s="5"/>
      <c r="AY759" s="5"/>
      <c r="AZ759" s="5"/>
      <c r="BA759" s="5"/>
      <c r="BB759" s="5"/>
      <c r="BC759" s="5"/>
      <c r="BD759" s="5"/>
      <c r="BE759" s="5"/>
      <c r="BF759" s="5"/>
      <c r="BG759" s="5"/>
      <c r="BH759" s="5"/>
      <c r="BI759" s="5"/>
      <c r="BJ759" s="5"/>
      <c r="BK759" s="5"/>
      <c r="BL759" s="5"/>
      <c r="BM759" s="5"/>
      <c r="BN759" s="5"/>
      <c r="BO759" s="5"/>
      <c r="BP759" s="5"/>
      <c r="BQ759" s="5"/>
      <c r="BR759" s="5"/>
      <c r="BS759" s="5"/>
      <c r="BT759" s="5"/>
      <c r="BU759" s="5"/>
      <c r="BV759" s="5"/>
      <c r="BW759" s="5"/>
      <c r="BX759" s="5"/>
      <c r="BY759" s="5"/>
      <c r="BZ759" s="5"/>
      <c r="CA759" s="5"/>
      <c r="CB759" s="5"/>
      <c r="CC759" s="5"/>
      <c r="CD759" s="5"/>
      <c r="CE759" s="5"/>
      <c r="CF759" s="5"/>
      <c r="CG759" s="5"/>
      <c r="CH759" s="5"/>
      <c r="CI759" s="5"/>
    </row>
    <row r="760" ht="14.25" customHeight="1">
      <c r="B760" s="1"/>
      <c r="D760" s="1"/>
      <c r="E760" s="33"/>
      <c r="F760" s="34"/>
      <c r="G760" s="5"/>
      <c r="H760" s="5"/>
      <c r="I760" s="5"/>
      <c r="J760" s="5"/>
      <c r="K760" s="5"/>
      <c r="L760" s="5"/>
      <c r="M760" s="32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  <c r="AG760" s="5"/>
      <c r="AH760" s="5"/>
      <c r="AI760" s="5"/>
      <c r="AJ760" s="5"/>
      <c r="AK760" s="5"/>
      <c r="AL760" s="5"/>
      <c r="AM760" s="5"/>
      <c r="AN760" s="5"/>
      <c r="AO760" s="5"/>
      <c r="AP760" s="5"/>
      <c r="AQ760" s="5"/>
      <c r="AR760" s="5"/>
      <c r="AS760" s="5"/>
      <c r="AT760" s="5"/>
      <c r="AU760" s="5"/>
      <c r="AV760" s="5"/>
      <c r="AW760" s="5"/>
      <c r="AX760" s="5"/>
      <c r="AY760" s="5"/>
      <c r="AZ760" s="5"/>
      <c r="BA760" s="5"/>
      <c r="BB760" s="5"/>
      <c r="BC760" s="5"/>
      <c r="BD760" s="5"/>
      <c r="BE760" s="5"/>
      <c r="BF760" s="5"/>
      <c r="BG760" s="5"/>
      <c r="BH760" s="5"/>
      <c r="BI760" s="5"/>
      <c r="BJ760" s="5"/>
      <c r="BK760" s="5"/>
      <c r="BL760" s="5"/>
      <c r="BM760" s="5"/>
      <c r="BN760" s="5"/>
      <c r="BO760" s="5"/>
      <c r="BP760" s="5"/>
      <c r="BQ760" s="5"/>
      <c r="BR760" s="5"/>
      <c r="BS760" s="5"/>
      <c r="BT760" s="5"/>
      <c r="BU760" s="5"/>
      <c r="BV760" s="5"/>
      <c r="BW760" s="5"/>
      <c r="BX760" s="5"/>
      <c r="BY760" s="5"/>
      <c r="BZ760" s="5"/>
      <c r="CA760" s="5"/>
      <c r="CB760" s="5"/>
      <c r="CC760" s="5"/>
      <c r="CD760" s="5"/>
      <c r="CE760" s="5"/>
      <c r="CF760" s="5"/>
      <c r="CG760" s="5"/>
      <c r="CH760" s="5"/>
      <c r="CI760" s="5"/>
    </row>
    <row r="761" ht="14.25" customHeight="1">
      <c r="B761" s="1"/>
      <c r="D761" s="1"/>
      <c r="E761" s="33"/>
      <c r="F761" s="34"/>
      <c r="G761" s="5"/>
      <c r="H761" s="5"/>
      <c r="I761" s="5"/>
      <c r="J761" s="5"/>
      <c r="K761" s="5"/>
      <c r="L761" s="5"/>
      <c r="M761" s="32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  <c r="AG761" s="5"/>
      <c r="AH761" s="5"/>
      <c r="AI761" s="5"/>
      <c r="AJ761" s="5"/>
      <c r="AK761" s="5"/>
      <c r="AL761" s="5"/>
      <c r="AM761" s="5"/>
      <c r="AN761" s="5"/>
      <c r="AO761" s="5"/>
      <c r="AP761" s="5"/>
      <c r="AQ761" s="5"/>
      <c r="AR761" s="5"/>
      <c r="AS761" s="5"/>
      <c r="AT761" s="5"/>
      <c r="AU761" s="5"/>
      <c r="AV761" s="5"/>
      <c r="AW761" s="5"/>
      <c r="AX761" s="5"/>
      <c r="AY761" s="5"/>
      <c r="AZ761" s="5"/>
      <c r="BA761" s="5"/>
      <c r="BB761" s="5"/>
      <c r="BC761" s="5"/>
      <c r="BD761" s="5"/>
      <c r="BE761" s="5"/>
      <c r="BF761" s="5"/>
      <c r="BG761" s="5"/>
      <c r="BH761" s="5"/>
      <c r="BI761" s="5"/>
      <c r="BJ761" s="5"/>
      <c r="BK761" s="5"/>
      <c r="BL761" s="5"/>
      <c r="BM761" s="5"/>
      <c r="BN761" s="5"/>
      <c r="BO761" s="5"/>
      <c r="BP761" s="5"/>
      <c r="BQ761" s="5"/>
      <c r="BR761" s="5"/>
      <c r="BS761" s="5"/>
      <c r="BT761" s="5"/>
      <c r="BU761" s="5"/>
      <c r="BV761" s="5"/>
      <c r="BW761" s="5"/>
      <c r="BX761" s="5"/>
      <c r="BY761" s="5"/>
      <c r="BZ761" s="5"/>
      <c r="CA761" s="5"/>
      <c r="CB761" s="5"/>
      <c r="CC761" s="5"/>
      <c r="CD761" s="5"/>
      <c r="CE761" s="5"/>
      <c r="CF761" s="5"/>
      <c r="CG761" s="5"/>
      <c r="CH761" s="5"/>
      <c r="CI761" s="5"/>
    </row>
    <row r="762" ht="14.25" customHeight="1">
      <c r="B762" s="1"/>
      <c r="D762" s="1"/>
      <c r="E762" s="33"/>
      <c r="F762" s="34"/>
      <c r="G762" s="5"/>
      <c r="H762" s="5"/>
      <c r="I762" s="5"/>
      <c r="J762" s="5"/>
      <c r="K762" s="5"/>
      <c r="L762" s="5"/>
      <c r="M762" s="32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  <c r="AE762" s="5"/>
      <c r="AF762" s="5"/>
      <c r="AG762" s="5"/>
      <c r="AH762" s="5"/>
      <c r="AI762" s="5"/>
      <c r="AJ762" s="5"/>
      <c r="AK762" s="5"/>
      <c r="AL762" s="5"/>
      <c r="AM762" s="5"/>
      <c r="AN762" s="5"/>
      <c r="AO762" s="5"/>
      <c r="AP762" s="5"/>
      <c r="AQ762" s="5"/>
      <c r="AR762" s="5"/>
      <c r="AS762" s="5"/>
      <c r="AT762" s="5"/>
      <c r="AU762" s="5"/>
      <c r="AV762" s="5"/>
      <c r="AW762" s="5"/>
      <c r="AX762" s="5"/>
      <c r="AY762" s="5"/>
      <c r="AZ762" s="5"/>
      <c r="BA762" s="5"/>
      <c r="BB762" s="5"/>
      <c r="BC762" s="5"/>
      <c r="BD762" s="5"/>
      <c r="BE762" s="5"/>
      <c r="BF762" s="5"/>
      <c r="BG762" s="5"/>
      <c r="BH762" s="5"/>
      <c r="BI762" s="5"/>
      <c r="BJ762" s="5"/>
      <c r="BK762" s="5"/>
      <c r="BL762" s="5"/>
      <c r="BM762" s="5"/>
      <c r="BN762" s="5"/>
      <c r="BO762" s="5"/>
      <c r="BP762" s="5"/>
      <c r="BQ762" s="5"/>
      <c r="BR762" s="5"/>
      <c r="BS762" s="5"/>
      <c r="BT762" s="5"/>
      <c r="BU762" s="5"/>
      <c r="BV762" s="5"/>
      <c r="BW762" s="5"/>
      <c r="BX762" s="5"/>
      <c r="BY762" s="5"/>
      <c r="BZ762" s="5"/>
      <c r="CA762" s="5"/>
      <c r="CB762" s="5"/>
      <c r="CC762" s="5"/>
      <c r="CD762" s="5"/>
      <c r="CE762" s="5"/>
      <c r="CF762" s="5"/>
      <c r="CG762" s="5"/>
      <c r="CH762" s="5"/>
      <c r="CI762" s="5"/>
    </row>
    <row r="763" ht="14.25" customHeight="1">
      <c r="B763" s="1"/>
      <c r="D763" s="1"/>
      <c r="E763" s="33"/>
      <c r="F763" s="34"/>
      <c r="G763" s="5"/>
      <c r="H763" s="5"/>
      <c r="I763" s="5"/>
      <c r="J763" s="5"/>
      <c r="K763" s="5"/>
      <c r="L763" s="5"/>
      <c r="M763" s="32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5"/>
      <c r="AI763" s="5"/>
      <c r="AJ763" s="5"/>
      <c r="AK763" s="5"/>
      <c r="AL763" s="5"/>
      <c r="AM763" s="5"/>
      <c r="AN763" s="5"/>
      <c r="AO763" s="5"/>
      <c r="AP763" s="5"/>
      <c r="AQ763" s="5"/>
      <c r="AR763" s="5"/>
      <c r="AS763" s="5"/>
      <c r="AT763" s="5"/>
      <c r="AU763" s="5"/>
      <c r="AV763" s="5"/>
      <c r="AW763" s="5"/>
      <c r="AX763" s="5"/>
      <c r="AY763" s="5"/>
      <c r="AZ763" s="5"/>
      <c r="BA763" s="5"/>
      <c r="BB763" s="5"/>
      <c r="BC763" s="5"/>
      <c r="BD763" s="5"/>
      <c r="BE763" s="5"/>
      <c r="BF763" s="5"/>
      <c r="BG763" s="5"/>
      <c r="BH763" s="5"/>
      <c r="BI763" s="5"/>
      <c r="BJ763" s="5"/>
      <c r="BK763" s="5"/>
      <c r="BL763" s="5"/>
      <c r="BM763" s="5"/>
      <c r="BN763" s="5"/>
      <c r="BO763" s="5"/>
      <c r="BP763" s="5"/>
      <c r="BQ763" s="5"/>
      <c r="BR763" s="5"/>
      <c r="BS763" s="5"/>
      <c r="BT763" s="5"/>
      <c r="BU763" s="5"/>
      <c r="BV763" s="5"/>
      <c r="BW763" s="5"/>
      <c r="BX763" s="5"/>
      <c r="BY763" s="5"/>
      <c r="BZ763" s="5"/>
      <c r="CA763" s="5"/>
      <c r="CB763" s="5"/>
      <c r="CC763" s="5"/>
      <c r="CD763" s="5"/>
      <c r="CE763" s="5"/>
      <c r="CF763" s="5"/>
      <c r="CG763" s="5"/>
      <c r="CH763" s="5"/>
      <c r="CI763" s="5"/>
    </row>
    <row r="764" ht="14.25" customHeight="1">
      <c r="B764" s="1"/>
      <c r="D764" s="1"/>
      <c r="E764" s="33"/>
      <c r="F764" s="34"/>
      <c r="G764" s="5"/>
      <c r="H764" s="5"/>
      <c r="I764" s="5"/>
      <c r="J764" s="5"/>
      <c r="K764" s="5"/>
      <c r="L764" s="5"/>
      <c r="M764" s="32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5"/>
      <c r="AI764" s="5"/>
      <c r="AJ764" s="5"/>
      <c r="AK764" s="5"/>
      <c r="AL764" s="5"/>
      <c r="AM764" s="5"/>
      <c r="AN764" s="5"/>
      <c r="AO764" s="5"/>
      <c r="AP764" s="5"/>
      <c r="AQ764" s="5"/>
      <c r="AR764" s="5"/>
      <c r="AS764" s="5"/>
      <c r="AT764" s="5"/>
      <c r="AU764" s="5"/>
      <c r="AV764" s="5"/>
      <c r="AW764" s="5"/>
      <c r="AX764" s="5"/>
      <c r="AY764" s="5"/>
      <c r="AZ764" s="5"/>
      <c r="BA764" s="5"/>
      <c r="BB764" s="5"/>
      <c r="BC764" s="5"/>
      <c r="BD764" s="5"/>
      <c r="BE764" s="5"/>
      <c r="BF764" s="5"/>
      <c r="BG764" s="5"/>
      <c r="BH764" s="5"/>
      <c r="BI764" s="5"/>
      <c r="BJ764" s="5"/>
      <c r="BK764" s="5"/>
      <c r="BL764" s="5"/>
      <c r="BM764" s="5"/>
      <c r="BN764" s="5"/>
      <c r="BO764" s="5"/>
      <c r="BP764" s="5"/>
      <c r="BQ764" s="5"/>
      <c r="BR764" s="5"/>
      <c r="BS764" s="5"/>
      <c r="BT764" s="5"/>
      <c r="BU764" s="5"/>
      <c r="BV764" s="5"/>
      <c r="BW764" s="5"/>
      <c r="BX764" s="5"/>
      <c r="BY764" s="5"/>
      <c r="BZ764" s="5"/>
      <c r="CA764" s="5"/>
      <c r="CB764" s="5"/>
      <c r="CC764" s="5"/>
      <c r="CD764" s="5"/>
      <c r="CE764" s="5"/>
      <c r="CF764" s="5"/>
      <c r="CG764" s="5"/>
      <c r="CH764" s="5"/>
      <c r="CI764" s="5"/>
    </row>
    <row r="765" ht="14.25" customHeight="1">
      <c r="B765" s="1"/>
      <c r="D765" s="1"/>
      <c r="E765" s="33"/>
      <c r="F765" s="34"/>
      <c r="G765" s="5"/>
      <c r="H765" s="5"/>
      <c r="I765" s="5"/>
      <c r="J765" s="5"/>
      <c r="K765" s="5"/>
      <c r="L765" s="5"/>
      <c r="M765" s="32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5"/>
      <c r="AW765" s="5"/>
      <c r="AX765" s="5"/>
      <c r="AY765" s="5"/>
      <c r="AZ765" s="5"/>
      <c r="BA765" s="5"/>
      <c r="BB765" s="5"/>
      <c r="BC765" s="5"/>
      <c r="BD765" s="5"/>
      <c r="BE765" s="5"/>
      <c r="BF765" s="5"/>
      <c r="BG765" s="5"/>
      <c r="BH765" s="5"/>
      <c r="BI765" s="5"/>
      <c r="BJ765" s="5"/>
      <c r="BK765" s="5"/>
      <c r="BL765" s="5"/>
      <c r="BM765" s="5"/>
      <c r="BN765" s="5"/>
      <c r="BO765" s="5"/>
      <c r="BP765" s="5"/>
      <c r="BQ765" s="5"/>
      <c r="BR765" s="5"/>
      <c r="BS765" s="5"/>
      <c r="BT765" s="5"/>
      <c r="BU765" s="5"/>
      <c r="BV765" s="5"/>
      <c r="BW765" s="5"/>
      <c r="BX765" s="5"/>
      <c r="BY765" s="5"/>
      <c r="BZ765" s="5"/>
      <c r="CA765" s="5"/>
      <c r="CB765" s="5"/>
      <c r="CC765" s="5"/>
      <c r="CD765" s="5"/>
      <c r="CE765" s="5"/>
      <c r="CF765" s="5"/>
      <c r="CG765" s="5"/>
      <c r="CH765" s="5"/>
      <c r="CI765" s="5"/>
    </row>
    <row r="766" ht="14.25" customHeight="1">
      <c r="B766" s="1"/>
      <c r="D766" s="1"/>
      <c r="E766" s="33"/>
      <c r="F766" s="34"/>
      <c r="G766" s="5"/>
      <c r="H766" s="5"/>
      <c r="I766" s="5"/>
      <c r="J766" s="5"/>
      <c r="K766" s="5"/>
      <c r="L766" s="5"/>
      <c r="M766" s="32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5"/>
      <c r="AW766" s="5"/>
      <c r="AX766" s="5"/>
      <c r="AY766" s="5"/>
      <c r="AZ766" s="5"/>
      <c r="BA766" s="5"/>
      <c r="BB766" s="5"/>
      <c r="BC766" s="5"/>
      <c r="BD766" s="5"/>
      <c r="BE766" s="5"/>
      <c r="BF766" s="5"/>
      <c r="BG766" s="5"/>
      <c r="BH766" s="5"/>
      <c r="BI766" s="5"/>
      <c r="BJ766" s="5"/>
      <c r="BK766" s="5"/>
      <c r="BL766" s="5"/>
      <c r="BM766" s="5"/>
      <c r="BN766" s="5"/>
      <c r="BO766" s="5"/>
      <c r="BP766" s="5"/>
      <c r="BQ766" s="5"/>
      <c r="BR766" s="5"/>
      <c r="BS766" s="5"/>
      <c r="BT766" s="5"/>
      <c r="BU766" s="5"/>
      <c r="BV766" s="5"/>
      <c r="BW766" s="5"/>
      <c r="BX766" s="5"/>
      <c r="BY766" s="5"/>
      <c r="BZ766" s="5"/>
      <c r="CA766" s="5"/>
      <c r="CB766" s="5"/>
      <c r="CC766" s="5"/>
      <c r="CD766" s="5"/>
      <c r="CE766" s="5"/>
      <c r="CF766" s="5"/>
      <c r="CG766" s="5"/>
      <c r="CH766" s="5"/>
      <c r="CI766" s="5"/>
    </row>
    <row r="767" ht="14.25" customHeight="1">
      <c r="B767" s="1"/>
      <c r="D767" s="1"/>
      <c r="E767" s="33"/>
      <c r="F767" s="34"/>
      <c r="G767" s="5"/>
      <c r="H767" s="5"/>
      <c r="I767" s="5"/>
      <c r="J767" s="5"/>
      <c r="K767" s="5"/>
      <c r="L767" s="5"/>
      <c r="M767" s="32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5"/>
      <c r="AI767" s="5"/>
      <c r="AJ767" s="5"/>
      <c r="AK767" s="5"/>
      <c r="AL767" s="5"/>
      <c r="AM767" s="5"/>
      <c r="AN767" s="5"/>
      <c r="AO767" s="5"/>
      <c r="AP767" s="5"/>
      <c r="AQ767" s="5"/>
      <c r="AR767" s="5"/>
      <c r="AS767" s="5"/>
      <c r="AT767" s="5"/>
      <c r="AU767" s="5"/>
      <c r="AV767" s="5"/>
      <c r="AW767" s="5"/>
      <c r="AX767" s="5"/>
      <c r="AY767" s="5"/>
      <c r="AZ767" s="5"/>
      <c r="BA767" s="5"/>
      <c r="BB767" s="5"/>
      <c r="BC767" s="5"/>
      <c r="BD767" s="5"/>
      <c r="BE767" s="5"/>
      <c r="BF767" s="5"/>
      <c r="BG767" s="5"/>
      <c r="BH767" s="5"/>
      <c r="BI767" s="5"/>
      <c r="BJ767" s="5"/>
      <c r="BK767" s="5"/>
      <c r="BL767" s="5"/>
      <c r="BM767" s="5"/>
      <c r="BN767" s="5"/>
      <c r="BO767" s="5"/>
      <c r="BP767" s="5"/>
      <c r="BQ767" s="5"/>
      <c r="BR767" s="5"/>
      <c r="BS767" s="5"/>
      <c r="BT767" s="5"/>
      <c r="BU767" s="5"/>
      <c r="BV767" s="5"/>
      <c r="BW767" s="5"/>
      <c r="BX767" s="5"/>
      <c r="BY767" s="5"/>
      <c r="BZ767" s="5"/>
      <c r="CA767" s="5"/>
      <c r="CB767" s="5"/>
      <c r="CC767" s="5"/>
      <c r="CD767" s="5"/>
      <c r="CE767" s="5"/>
      <c r="CF767" s="5"/>
      <c r="CG767" s="5"/>
      <c r="CH767" s="5"/>
      <c r="CI767" s="5"/>
    </row>
    <row r="768" ht="14.25" customHeight="1">
      <c r="B768" s="1"/>
      <c r="D768" s="1"/>
      <c r="E768" s="33"/>
      <c r="F768" s="34"/>
      <c r="G768" s="5"/>
      <c r="H768" s="5"/>
      <c r="I768" s="5"/>
      <c r="J768" s="5"/>
      <c r="K768" s="5"/>
      <c r="L768" s="5"/>
      <c r="M768" s="32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5"/>
      <c r="AI768" s="5"/>
      <c r="AJ768" s="5"/>
      <c r="AK768" s="5"/>
      <c r="AL768" s="5"/>
      <c r="AM768" s="5"/>
      <c r="AN768" s="5"/>
      <c r="AO768" s="5"/>
      <c r="AP768" s="5"/>
      <c r="AQ768" s="5"/>
      <c r="AR768" s="5"/>
      <c r="AS768" s="5"/>
      <c r="AT768" s="5"/>
      <c r="AU768" s="5"/>
      <c r="AV768" s="5"/>
      <c r="AW768" s="5"/>
      <c r="AX768" s="5"/>
      <c r="AY768" s="5"/>
      <c r="AZ768" s="5"/>
      <c r="BA768" s="5"/>
      <c r="BB768" s="5"/>
      <c r="BC768" s="5"/>
      <c r="BD768" s="5"/>
      <c r="BE768" s="5"/>
      <c r="BF768" s="5"/>
      <c r="BG768" s="5"/>
      <c r="BH768" s="5"/>
      <c r="BI768" s="5"/>
      <c r="BJ768" s="5"/>
      <c r="BK768" s="5"/>
      <c r="BL768" s="5"/>
      <c r="BM768" s="5"/>
      <c r="BN768" s="5"/>
      <c r="BO768" s="5"/>
      <c r="BP768" s="5"/>
      <c r="BQ768" s="5"/>
      <c r="BR768" s="5"/>
      <c r="BS768" s="5"/>
      <c r="BT768" s="5"/>
      <c r="BU768" s="5"/>
      <c r="BV768" s="5"/>
      <c r="BW768" s="5"/>
      <c r="BX768" s="5"/>
      <c r="BY768" s="5"/>
      <c r="BZ768" s="5"/>
      <c r="CA768" s="5"/>
      <c r="CB768" s="5"/>
      <c r="CC768" s="5"/>
      <c r="CD768" s="5"/>
      <c r="CE768" s="5"/>
      <c r="CF768" s="5"/>
      <c r="CG768" s="5"/>
      <c r="CH768" s="5"/>
      <c r="CI768" s="5"/>
    </row>
    <row r="769" ht="14.25" customHeight="1">
      <c r="B769" s="1"/>
      <c r="D769" s="1"/>
      <c r="E769" s="33"/>
      <c r="F769" s="34"/>
      <c r="G769" s="5"/>
      <c r="H769" s="5"/>
      <c r="I769" s="5"/>
      <c r="J769" s="5"/>
      <c r="K769" s="5"/>
      <c r="L769" s="5"/>
      <c r="M769" s="32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  <c r="AR769" s="5"/>
      <c r="AS769" s="5"/>
      <c r="AT769" s="5"/>
      <c r="AU769" s="5"/>
      <c r="AV769" s="5"/>
      <c r="AW769" s="5"/>
      <c r="AX769" s="5"/>
      <c r="AY769" s="5"/>
      <c r="AZ769" s="5"/>
      <c r="BA769" s="5"/>
      <c r="BB769" s="5"/>
      <c r="BC769" s="5"/>
      <c r="BD769" s="5"/>
      <c r="BE769" s="5"/>
      <c r="BF769" s="5"/>
      <c r="BG769" s="5"/>
      <c r="BH769" s="5"/>
      <c r="BI769" s="5"/>
      <c r="BJ769" s="5"/>
      <c r="BK769" s="5"/>
      <c r="BL769" s="5"/>
      <c r="BM769" s="5"/>
      <c r="BN769" s="5"/>
      <c r="BO769" s="5"/>
      <c r="BP769" s="5"/>
      <c r="BQ769" s="5"/>
      <c r="BR769" s="5"/>
      <c r="BS769" s="5"/>
      <c r="BT769" s="5"/>
      <c r="BU769" s="5"/>
      <c r="BV769" s="5"/>
      <c r="BW769" s="5"/>
      <c r="BX769" s="5"/>
      <c r="BY769" s="5"/>
      <c r="BZ769" s="5"/>
      <c r="CA769" s="5"/>
      <c r="CB769" s="5"/>
      <c r="CC769" s="5"/>
      <c r="CD769" s="5"/>
      <c r="CE769" s="5"/>
      <c r="CF769" s="5"/>
      <c r="CG769" s="5"/>
      <c r="CH769" s="5"/>
      <c r="CI769" s="5"/>
    </row>
    <row r="770" ht="14.25" customHeight="1">
      <c r="B770" s="1"/>
      <c r="D770" s="1"/>
      <c r="E770" s="33"/>
      <c r="F770" s="34"/>
      <c r="G770" s="5"/>
      <c r="H770" s="5"/>
      <c r="I770" s="5"/>
      <c r="J770" s="5"/>
      <c r="K770" s="5"/>
      <c r="L770" s="5"/>
      <c r="M770" s="32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5"/>
      <c r="AI770" s="5"/>
      <c r="AJ770" s="5"/>
      <c r="AK770" s="5"/>
      <c r="AL770" s="5"/>
      <c r="AM770" s="5"/>
      <c r="AN770" s="5"/>
      <c r="AO770" s="5"/>
      <c r="AP770" s="5"/>
      <c r="AQ770" s="5"/>
      <c r="AR770" s="5"/>
      <c r="AS770" s="5"/>
      <c r="AT770" s="5"/>
      <c r="AU770" s="5"/>
      <c r="AV770" s="5"/>
      <c r="AW770" s="5"/>
      <c r="AX770" s="5"/>
      <c r="AY770" s="5"/>
      <c r="AZ770" s="5"/>
      <c r="BA770" s="5"/>
      <c r="BB770" s="5"/>
      <c r="BC770" s="5"/>
      <c r="BD770" s="5"/>
      <c r="BE770" s="5"/>
      <c r="BF770" s="5"/>
      <c r="BG770" s="5"/>
      <c r="BH770" s="5"/>
      <c r="BI770" s="5"/>
      <c r="BJ770" s="5"/>
      <c r="BK770" s="5"/>
      <c r="BL770" s="5"/>
      <c r="BM770" s="5"/>
      <c r="BN770" s="5"/>
      <c r="BO770" s="5"/>
      <c r="BP770" s="5"/>
      <c r="BQ770" s="5"/>
      <c r="BR770" s="5"/>
      <c r="BS770" s="5"/>
      <c r="BT770" s="5"/>
      <c r="BU770" s="5"/>
      <c r="BV770" s="5"/>
      <c r="BW770" s="5"/>
      <c r="BX770" s="5"/>
      <c r="BY770" s="5"/>
      <c r="BZ770" s="5"/>
      <c r="CA770" s="5"/>
      <c r="CB770" s="5"/>
      <c r="CC770" s="5"/>
      <c r="CD770" s="5"/>
      <c r="CE770" s="5"/>
      <c r="CF770" s="5"/>
      <c r="CG770" s="5"/>
      <c r="CH770" s="5"/>
      <c r="CI770" s="5"/>
    </row>
    <row r="771" ht="14.25" customHeight="1">
      <c r="B771" s="1"/>
      <c r="D771" s="1"/>
      <c r="E771" s="33"/>
      <c r="F771" s="34"/>
      <c r="G771" s="5"/>
      <c r="H771" s="5"/>
      <c r="I771" s="5"/>
      <c r="J771" s="5"/>
      <c r="K771" s="5"/>
      <c r="L771" s="5"/>
      <c r="M771" s="32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5"/>
      <c r="AI771" s="5"/>
      <c r="AJ771" s="5"/>
      <c r="AK771" s="5"/>
      <c r="AL771" s="5"/>
      <c r="AM771" s="5"/>
      <c r="AN771" s="5"/>
      <c r="AO771" s="5"/>
      <c r="AP771" s="5"/>
      <c r="AQ771" s="5"/>
      <c r="AR771" s="5"/>
      <c r="AS771" s="5"/>
      <c r="AT771" s="5"/>
      <c r="AU771" s="5"/>
      <c r="AV771" s="5"/>
      <c r="AW771" s="5"/>
      <c r="AX771" s="5"/>
      <c r="AY771" s="5"/>
      <c r="AZ771" s="5"/>
      <c r="BA771" s="5"/>
      <c r="BB771" s="5"/>
      <c r="BC771" s="5"/>
      <c r="BD771" s="5"/>
      <c r="BE771" s="5"/>
      <c r="BF771" s="5"/>
      <c r="BG771" s="5"/>
      <c r="BH771" s="5"/>
      <c r="BI771" s="5"/>
      <c r="BJ771" s="5"/>
      <c r="BK771" s="5"/>
      <c r="BL771" s="5"/>
      <c r="BM771" s="5"/>
      <c r="BN771" s="5"/>
      <c r="BO771" s="5"/>
      <c r="BP771" s="5"/>
      <c r="BQ771" s="5"/>
      <c r="BR771" s="5"/>
      <c r="BS771" s="5"/>
      <c r="BT771" s="5"/>
      <c r="BU771" s="5"/>
      <c r="BV771" s="5"/>
      <c r="BW771" s="5"/>
      <c r="BX771" s="5"/>
      <c r="BY771" s="5"/>
      <c r="BZ771" s="5"/>
      <c r="CA771" s="5"/>
      <c r="CB771" s="5"/>
      <c r="CC771" s="5"/>
      <c r="CD771" s="5"/>
      <c r="CE771" s="5"/>
      <c r="CF771" s="5"/>
      <c r="CG771" s="5"/>
      <c r="CH771" s="5"/>
      <c r="CI771" s="5"/>
    </row>
    <row r="772" ht="14.25" customHeight="1">
      <c r="B772" s="1"/>
      <c r="D772" s="1"/>
      <c r="E772" s="33"/>
      <c r="F772" s="34"/>
      <c r="G772" s="5"/>
      <c r="H772" s="5"/>
      <c r="I772" s="5"/>
      <c r="J772" s="5"/>
      <c r="K772" s="5"/>
      <c r="L772" s="5"/>
      <c r="M772" s="32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5"/>
      <c r="AI772" s="5"/>
      <c r="AJ772" s="5"/>
      <c r="AK772" s="5"/>
      <c r="AL772" s="5"/>
      <c r="AM772" s="5"/>
      <c r="AN772" s="5"/>
      <c r="AO772" s="5"/>
      <c r="AP772" s="5"/>
      <c r="AQ772" s="5"/>
      <c r="AR772" s="5"/>
      <c r="AS772" s="5"/>
      <c r="AT772" s="5"/>
      <c r="AU772" s="5"/>
      <c r="AV772" s="5"/>
      <c r="AW772" s="5"/>
      <c r="AX772" s="5"/>
      <c r="AY772" s="5"/>
      <c r="AZ772" s="5"/>
      <c r="BA772" s="5"/>
      <c r="BB772" s="5"/>
      <c r="BC772" s="5"/>
      <c r="BD772" s="5"/>
      <c r="BE772" s="5"/>
      <c r="BF772" s="5"/>
      <c r="BG772" s="5"/>
      <c r="BH772" s="5"/>
      <c r="BI772" s="5"/>
      <c r="BJ772" s="5"/>
      <c r="BK772" s="5"/>
      <c r="BL772" s="5"/>
      <c r="BM772" s="5"/>
      <c r="BN772" s="5"/>
      <c r="BO772" s="5"/>
      <c r="BP772" s="5"/>
      <c r="BQ772" s="5"/>
      <c r="BR772" s="5"/>
      <c r="BS772" s="5"/>
      <c r="BT772" s="5"/>
      <c r="BU772" s="5"/>
      <c r="BV772" s="5"/>
      <c r="BW772" s="5"/>
      <c r="BX772" s="5"/>
      <c r="BY772" s="5"/>
      <c r="BZ772" s="5"/>
      <c r="CA772" s="5"/>
      <c r="CB772" s="5"/>
      <c r="CC772" s="5"/>
      <c r="CD772" s="5"/>
      <c r="CE772" s="5"/>
      <c r="CF772" s="5"/>
      <c r="CG772" s="5"/>
      <c r="CH772" s="5"/>
      <c r="CI772" s="5"/>
    </row>
    <row r="773" ht="14.25" customHeight="1">
      <c r="B773" s="1"/>
      <c r="D773" s="1"/>
      <c r="E773" s="33"/>
      <c r="F773" s="34"/>
      <c r="G773" s="5"/>
      <c r="H773" s="5"/>
      <c r="I773" s="5"/>
      <c r="J773" s="5"/>
      <c r="K773" s="5"/>
      <c r="L773" s="5"/>
      <c r="M773" s="32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  <c r="AR773" s="5"/>
      <c r="AS773" s="5"/>
      <c r="AT773" s="5"/>
      <c r="AU773" s="5"/>
      <c r="AV773" s="5"/>
      <c r="AW773" s="5"/>
      <c r="AX773" s="5"/>
      <c r="AY773" s="5"/>
      <c r="AZ773" s="5"/>
      <c r="BA773" s="5"/>
      <c r="BB773" s="5"/>
      <c r="BC773" s="5"/>
      <c r="BD773" s="5"/>
      <c r="BE773" s="5"/>
      <c r="BF773" s="5"/>
      <c r="BG773" s="5"/>
      <c r="BH773" s="5"/>
      <c r="BI773" s="5"/>
      <c r="BJ773" s="5"/>
      <c r="BK773" s="5"/>
      <c r="BL773" s="5"/>
      <c r="BM773" s="5"/>
      <c r="BN773" s="5"/>
      <c r="BO773" s="5"/>
      <c r="BP773" s="5"/>
      <c r="BQ773" s="5"/>
      <c r="BR773" s="5"/>
      <c r="BS773" s="5"/>
      <c r="BT773" s="5"/>
      <c r="BU773" s="5"/>
      <c r="BV773" s="5"/>
      <c r="BW773" s="5"/>
      <c r="BX773" s="5"/>
      <c r="BY773" s="5"/>
      <c r="BZ773" s="5"/>
      <c r="CA773" s="5"/>
      <c r="CB773" s="5"/>
      <c r="CC773" s="5"/>
      <c r="CD773" s="5"/>
      <c r="CE773" s="5"/>
      <c r="CF773" s="5"/>
      <c r="CG773" s="5"/>
      <c r="CH773" s="5"/>
      <c r="CI773" s="5"/>
    </row>
    <row r="774" ht="14.25" customHeight="1">
      <c r="B774" s="1"/>
      <c r="D774" s="1"/>
      <c r="E774" s="33"/>
      <c r="F774" s="34"/>
      <c r="G774" s="5"/>
      <c r="H774" s="5"/>
      <c r="I774" s="5"/>
      <c r="J774" s="5"/>
      <c r="K774" s="5"/>
      <c r="L774" s="5"/>
      <c r="M774" s="32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5"/>
      <c r="AI774" s="5"/>
      <c r="AJ774" s="5"/>
      <c r="AK774" s="5"/>
      <c r="AL774" s="5"/>
      <c r="AM774" s="5"/>
      <c r="AN774" s="5"/>
      <c r="AO774" s="5"/>
      <c r="AP774" s="5"/>
      <c r="AQ774" s="5"/>
      <c r="AR774" s="5"/>
      <c r="AS774" s="5"/>
      <c r="AT774" s="5"/>
      <c r="AU774" s="5"/>
      <c r="AV774" s="5"/>
      <c r="AW774" s="5"/>
      <c r="AX774" s="5"/>
      <c r="AY774" s="5"/>
      <c r="AZ774" s="5"/>
      <c r="BA774" s="5"/>
      <c r="BB774" s="5"/>
      <c r="BC774" s="5"/>
      <c r="BD774" s="5"/>
      <c r="BE774" s="5"/>
      <c r="BF774" s="5"/>
      <c r="BG774" s="5"/>
      <c r="BH774" s="5"/>
      <c r="BI774" s="5"/>
      <c r="BJ774" s="5"/>
      <c r="BK774" s="5"/>
      <c r="BL774" s="5"/>
      <c r="BM774" s="5"/>
      <c r="BN774" s="5"/>
      <c r="BO774" s="5"/>
      <c r="BP774" s="5"/>
      <c r="BQ774" s="5"/>
      <c r="BR774" s="5"/>
      <c r="BS774" s="5"/>
      <c r="BT774" s="5"/>
      <c r="BU774" s="5"/>
      <c r="BV774" s="5"/>
      <c r="BW774" s="5"/>
      <c r="BX774" s="5"/>
      <c r="BY774" s="5"/>
      <c r="BZ774" s="5"/>
      <c r="CA774" s="5"/>
      <c r="CB774" s="5"/>
      <c r="CC774" s="5"/>
      <c r="CD774" s="5"/>
      <c r="CE774" s="5"/>
      <c r="CF774" s="5"/>
      <c r="CG774" s="5"/>
      <c r="CH774" s="5"/>
      <c r="CI774" s="5"/>
    </row>
    <row r="775" ht="14.25" customHeight="1">
      <c r="B775" s="1"/>
      <c r="D775" s="1"/>
      <c r="E775" s="33"/>
      <c r="F775" s="34"/>
      <c r="G775" s="5"/>
      <c r="H775" s="5"/>
      <c r="I775" s="5"/>
      <c r="J775" s="5"/>
      <c r="K775" s="5"/>
      <c r="L775" s="5"/>
      <c r="M775" s="32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5"/>
      <c r="AI775" s="5"/>
      <c r="AJ775" s="5"/>
      <c r="AK775" s="5"/>
      <c r="AL775" s="5"/>
      <c r="AM775" s="5"/>
      <c r="AN775" s="5"/>
      <c r="AO775" s="5"/>
      <c r="AP775" s="5"/>
      <c r="AQ775" s="5"/>
      <c r="AR775" s="5"/>
      <c r="AS775" s="5"/>
      <c r="AT775" s="5"/>
      <c r="AU775" s="5"/>
      <c r="AV775" s="5"/>
      <c r="AW775" s="5"/>
      <c r="AX775" s="5"/>
      <c r="AY775" s="5"/>
      <c r="AZ775" s="5"/>
      <c r="BA775" s="5"/>
      <c r="BB775" s="5"/>
      <c r="BC775" s="5"/>
      <c r="BD775" s="5"/>
      <c r="BE775" s="5"/>
      <c r="BF775" s="5"/>
      <c r="BG775" s="5"/>
      <c r="BH775" s="5"/>
      <c r="BI775" s="5"/>
      <c r="BJ775" s="5"/>
      <c r="BK775" s="5"/>
      <c r="BL775" s="5"/>
      <c r="BM775" s="5"/>
      <c r="BN775" s="5"/>
      <c r="BO775" s="5"/>
      <c r="BP775" s="5"/>
      <c r="BQ775" s="5"/>
      <c r="BR775" s="5"/>
      <c r="BS775" s="5"/>
      <c r="BT775" s="5"/>
      <c r="BU775" s="5"/>
      <c r="BV775" s="5"/>
      <c r="BW775" s="5"/>
      <c r="BX775" s="5"/>
      <c r="BY775" s="5"/>
      <c r="BZ775" s="5"/>
      <c r="CA775" s="5"/>
      <c r="CB775" s="5"/>
      <c r="CC775" s="5"/>
      <c r="CD775" s="5"/>
      <c r="CE775" s="5"/>
      <c r="CF775" s="5"/>
      <c r="CG775" s="5"/>
      <c r="CH775" s="5"/>
      <c r="CI775" s="5"/>
    </row>
    <row r="776" ht="14.25" customHeight="1">
      <c r="B776" s="1"/>
      <c r="D776" s="1"/>
      <c r="E776" s="33"/>
      <c r="F776" s="34"/>
      <c r="G776" s="5"/>
      <c r="H776" s="5"/>
      <c r="I776" s="5"/>
      <c r="J776" s="5"/>
      <c r="K776" s="5"/>
      <c r="L776" s="5"/>
      <c r="M776" s="32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5"/>
      <c r="AI776" s="5"/>
      <c r="AJ776" s="5"/>
      <c r="AK776" s="5"/>
      <c r="AL776" s="5"/>
      <c r="AM776" s="5"/>
      <c r="AN776" s="5"/>
      <c r="AO776" s="5"/>
      <c r="AP776" s="5"/>
      <c r="AQ776" s="5"/>
      <c r="AR776" s="5"/>
      <c r="AS776" s="5"/>
      <c r="AT776" s="5"/>
      <c r="AU776" s="5"/>
      <c r="AV776" s="5"/>
      <c r="AW776" s="5"/>
      <c r="AX776" s="5"/>
      <c r="AY776" s="5"/>
      <c r="AZ776" s="5"/>
      <c r="BA776" s="5"/>
      <c r="BB776" s="5"/>
      <c r="BC776" s="5"/>
      <c r="BD776" s="5"/>
      <c r="BE776" s="5"/>
      <c r="BF776" s="5"/>
      <c r="BG776" s="5"/>
      <c r="BH776" s="5"/>
      <c r="BI776" s="5"/>
      <c r="BJ776" s="5"/>
      <c r="BK776" s="5"/>
      <c r="BL776" s="5"/>
      <c r="BM776" s="5"/>
      <c r="BN776" s="5"/>
      <c r="BO776" s="5"/>
      <c r="BP776" s="5"/>
      <c r="BQ776" s="5"/>
      <c r="BR776" s="5"/>
      <c r="BS776" s="5"/>
      <c r="BT776" s="5"/>
      <c r="BU776" s="5"/>
      <c r="BV776" s="5"/>
      <c r="BW776" s="5"/>
      <c r="BX776" s="5"/>
      <c r="BY776" s="5"/>
      <c r="BZ776" s="5"/>
      <c r="CA776" s="5"/>
      <c r="CB776" s="5"/>
      <c r="CC776" s="5"/>
      <c r="CD776" s="5"/>
      <c r="CE776" s="5"/>
      <c r="CF776" s="5"/>
      <c r="CG776" s="5"/>
      <c r="CH776" s="5"/>
      <c r="CI776" s="5"/>
    </row>
    <row r="777" ht="14.25" customHeight="1">
      <c r="B777" s="1"/>
      <c r="D777" s="1"/>
      <c r="E777" s="33"/>
      <c r="F777" s="34"/>
      <c r="G777" s="5"/>
      <c r="H777" s="5"/>
      <c r="I777" s="5"/>
      <c r="J777" s="5"/>
      <c r="K777" s="5"/>
      <c r="L777" s="5"/>
      <c r="M777" s="32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5"/>
      <c r="AI777" s="5"/>
      <c r="AJ777" s="5"/>
      <c r="AK777" s="5"/>
      <c r="AL777" s="5"/>
      <c r="AM777" s="5"/>
      <c r="AN777" s="5"/>
      <c r="AO777" s="5"/>
      <c r="AP777" s="5"/>
      <c r="AQ777" s="5"/>
      <c r="AR777" s="5"/>
      <c r="AS777" s="5"/>
      <c r="AT777" s="5"/>
      <c r="AU777" s="5"/>
      <c r="AV777" s="5"/>
      <c r="AW777" s="5"/>
      <c r="AX777" s="5"/>
      <c r="AY777" s="5"/>
      <c r="AZ777" s="5"/>
      <c r="BA777" s="5"/>
      <c r="BB777" s="5"/>
      <c r="BC777" s="5"/>
      <c r="BD777" s="5"/>
      <c r="BE777" s="5"/>
      <c r="BF777" s="5"/>
      <c r="BG777" s="5"/>
      <c r="BH777" s="5"/>
      <c r="BI777" s="5"/>
      <c r="BJ777" s="5"/>
      <c r="BK777" s="5"/>
      <c r="BL777" s="5"/>
      <c r="BM777" s="5"/>
      <c r="BN777" s="5"/>
      <c r="BO777" s="5"/>
      <c r="BP777" s="5"/>
      <c r="BQ777" s="5"/>
      <c r="BR777" s="5"/>
      <c r="BS777" s="5"/>
      <c r="BT777" s="5"/>
      <c r="BU777" s="5"/>
      <c r="BV777" s="5"/>
      <c r="BW777" s="5"/>
      <c r="BX777" s="5"/>
      <c r="BY777" s="5"/>
      <c r="BZ777" s="5"/>
      <c r="CA777" s="5"/>
      <c r="CB777" s="5"/>
      <c r="CC777" s="5"/>
      <c r="CD777" s="5"/>
      <c r="CE777" s="5"/>
      <c r="CF777" s="5"/>
      <c r="CG777" s="5"/>
      <c r="CH777" s="5"/>
      <c r="CI777" s="5"/>
    </row>
    <row r="778" ht="14.25" customHeight="1">
      <c r="B778" s="1"/>
      <c r="D778" s="1"/>
      <c r="E778" s="33"/>
      <c r="F778" s="34"/>
      <c r="G778" s="5"/>
      <c r="H778" s="5"/>
      <c r="I778" s="5"/>
      <c r="J778" s="5"/>
      <c r="K778" s="5"/>
      <c r="L778" s="5"/>
      <c r="M778" s="32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5"/>
      <c r="AW778" s="5"/>
      <c r="AX778" s="5"/>
      <c r="AY778" s="5"/>
      <c r="AZ778" s="5"/>
      <c r="BA778" s="5"/>
      <c r="BB778" s="5"/>
      <c r="BC778" s="5"/>
      <c r="BD778" s="5"/>
      <c r="BE778" s="5"/>
      <c r="BF778" s="5"/>
      <c r="BG778" s="5"/>
      <c r="BH778" s="5"/>
      <c r="BI778" s="5"/>
      <c r="BJ778" s="5"/>
      <c r="BK778" s="5"/>
      <c r="BL778" s="5"/>
      <c r="BM778" s="5"/>
      <c r="BN778" s="5"/>
      <c r="BO778" s="5"/>
      <c r="BP778" s="5"/>
      <c r="BQ778" s="5"/>
      <c r="BR778" s="5"/>
      <c r="BS778" s="5"/>
      <c r="BT778" s="5"/>
      <c r="BU778" s="5"/>
      <c r="BV778" s="5"/>
      <c r="BW778" s="5"/>
      <c r="BX778" s="5"/>
      <c r="BY778" s="5"/>
      <c r="BZ778" s="5"/>
      <c r="CA778" s="5"/>
      <c r="CB778" s="5"/>
      <c r="CC778" s="5"/>
      <c r="CD778" s="5"/>
      <c r="CE778" s="5"/>
      <c r="CF778" s="5"/>
      <c r="CG778" s="5"/>
      <c r="CH778" s="5"/>
      <c r="CI778" s="5"/>
    </row>
    <row r="779" ht="14.25" customHeight="1">
      <c r="B779" s="1"/>
      <c r="D779" s="1"/>
      <c r="E779" s="33"/>
      <c r="F779" s="34"/>
      <c r="G779" s="5"/>
      <c r="H779" s="5"/>
      <c r="I779" s="5"/>
      <c r="J779" s="5"/>
      <c r="K779" s="5"/>
      <c r="L779" s="5"/>
      <c r="M779" s="32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  <c r="AR779" s="5"/>
      <c r="AS779" s="5"/>
      <c r="AT779" s="5"/>
      <c r="AU779" s="5"/>
      <c r="AV779" s="5"/>
      <c r="AW779" s="5"/>
      <c r="AX779" s="5"/>
      <c r="AY779" s="5"/>
      <c r="AZ779" s="5"/>
      <c r="BA779" s="5"/>
      <c r="BB779" s="5"/>
      <c r="BC779" s="5"/>
      <c r="BD779" s="5"/>
      <c r="BE779" s="5"/>
      <c r="BF779" s="5"/>
      <c r="BG779" s="5"/>
      <c r="BH779" s="5"/>
      <c r="BI779" s="5"/>
      <c r="BJ779" s="5"/>
      <c r="BK779" s="5"/>
      <c r="BL779" s="5"/>
      <c r="BM779" s="5"/>
      <c r="BN779" s="5"/>
      <c r="BO779" s="5"/>
      <c r="BP779" s="5"/>
      <c r="BQ779" s="5"/>
      <c r="BR779" s="5"/>
      <c r="BS779" s="5"/>
      <c r="BT779" s="5"/>
      <c r="BU779" s="5"/>
      <c r="BV779" s="5"/>
      <c r="BW779" s="5"/>
      <c r="BX779" s="5"/>
      <c r="BY779" s="5"/>
      <c r="BZ779" s="5"/>
      <c r="CA779" s="5"/>
      <c r="CB779" s="5"/>
      <c r="CC779" s="5"/>
      <c r="CD779" s="5"/>
      <c r="CE779" s="5"/>
      <c r="CF779" s="5"/>
      <c r="CG779" s="5"/>
      <c r="CH779" s="5"/>
      <c r="CI779" s="5"/>
    </row>
    <row r="780" ht="14.25" customHeight="1">
      <c r="B780" s="1"/>
      <c r="D780" s="1"/>
      <c r="E780" s="33"/>
      <c r="F780" s="34"/>
      <c r="G780" s="5"/>
      <c r="H780" s="5"/>
      <c r="I780" s="5"/>
      <c r="J780" s="5"/>
      <c r="K780" s="5"/>
      <c r="L780" s="5"/>
      <c r="M780" s="32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5"/>
      <c r="AI780" s="5"/>
      <c r="AJ780" s="5"/>
      <c r="AK780" s="5"/>
      <c r="AL780" s="5"/>
      <c r="AM780" s="5"/>
      <c r="AN780" s="5"/>
      <c r="AO780" s="5"/>
      <c r="AP780" s="5"/>
      <c r="AQ780" s="5"/>
      <c r="AR780" s="5"/>
      <c r="AS780" s="5"/>
      <c r="AT780" s="5"/>
      <c r="AU780" s="5"/>
      <c r="AV780" s="5"/>
      <c r="AW780" s="5"/>
      <c r="AX780" s="5"/>
      <c r="AY780" s="5"/>
      <c r="AZ780" s="5"/>
      <c r="BA780" s="5"/>
      <c r="BB780" s="5"/>
      <c r="BC780" s="5"/>
      <c r="BD780" s="5"/>
      <c r="BE780" s="5"/>
      <c r="BF780" s="5"/>
      <c r="BG780" s="5"/>
      <c r="BH780" s="5"/>
      <c r="BI780" s="5"/>
      <c r="BJ780" s="5"/>
      <c r="BK780" s="5"/>
      <c r="BL780" s="5"/>
      <c r="BM780" s="5"/>
      <c r="BN780" s="5"/>
      <c r="BO780" s="5"/>
      <c r="BP780" s="5"/>
      <c r="BQ780" s="5"/>
      <c r="BR780" s="5"/>
      <c r="BS780" s="5"/>
      <c r="BT780" s="5"/>
      <c r="BU780" s="5"/>
      <c r="BV780" s="5"/>
      <c r="BW780" s="5"/>
      <c r="BX780" s="5"/>
      <c r="BY780" s="5"/>
      <c r="BZ780" s="5"/>
      <c r="CA780" s="5"/>
      <c r="CB780" s="5"/>
      <c r="CC780" s="5"/>
      <c r="CD780" s="5"/>
      <c r="CE780" s="5"/>
      <c r="CF780" s="5"/>
      <c r="CG780" s="5"/>
      <c r="CH780" s="5"/>
      <c r="CI780" s="5"/>
    </row>
    <row r="781" ht="14.25" customHeight="1">
      <c r="B781" s="1"/>
      <c r="D781" s="1"/>
      <c r="E781" s="33"/>
      <c r="F781" s="34"/>
      <c r="G781" s="5"/>
      <c r="H781" s="5"/>
      <c r="I781" s="5"/>
      <c r="J781" s="5"/>
      <c r="K781" s="5"/>
      <c r="L781" s="5"/>
      <c r="M781" s="32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5"/>
      <c r="AI781" s="5"/>
      <c r="AJ781" s="5"/>
      <c r="AK781" s="5"/>
      <c r="AL781" s="5"/>
      <c r="AM781" s="5"/>
      <c r="AN781" s="5"/>
      <c r="AO781" s="5"/>
      <c r="AP781" s="5"/>
      <c r="AQ781" s="5"/>
      <c r="AR781" s="5"/>
      <c r="AS781" s="5"/>
      <c r="AT781" s="5"/>
      <c r="AU781" s="5"/>
      <c r="AV781" s="5"/>
      <c r="AW781" s="5"/>
      <c r="AX781" s="5"/>
      <c r="AY781" s="5"/>
      <c r="AZ781" s="5"/>
      <c r="BA781" s="5"/>
      <c r="BB781" s="5"/>
      <c r="BC781" s="5"/>
      <c r="BD781" s="5"/>
      <c r="BE781" s="5"/>
      <c r="BF781" s="5"/>
      <c r="BG781" s="5"/>
      <c r="BH781" s="5"/>
      <c r="BI781" s="5"/>
      <c r="BJ781" s="5"/>
      <c r="BK781" s="5"/>
      <c r="BL781" s="5"/>
      <c r="BM781" s="5"/>
      <c r="BN781" s="5"/>
      <c r="BO781" s="5"/>
      <c r="BP781" s="5"/>
      <c r="BQ781" s="5"/>
      <c r="BR781" s="5"/>
      <c r="BS781" s="5"/>
      <c r="BT781" s="5"/>
      <c r="BU781" s="5"/>
      <c r="BV781" s="5"/>
      <c r="BW781" s="5"/>
      <c r="BX781" s="5"/>
      <c r="BY781" s="5"/>
      <c r="BZ781" s="5"/>
      <c r="CA781" s="5"/>
      <c r="CB781" s="5"/>
      <c r="CC781" s="5"/>
      <c r="CD781" s="5"/>
      <c r="CE781" s="5"/>
      <c r="CF781" s="5"/>
      <c r="CG781" s="5"/>
      <c r="CH781" s="5"/>
      <c r="CI781" s="5"/>
    </row>
    <row r="782" ht="14.25" customHeight="1">
      <c r="B782" s="1"/>
      <c r="D782" s="1"/>
      <c r="E782" s="33"/>
      <c r="F782" s="34"/>
      <c r="G782" s="5"/>
      <c r="H782" s="5"/>
      <c r="I782" s="5"/>
      <c r="J782" s="5"/>
      <c r="K782" s="5"/>
      <c r="L782" s="5"/>
      <c r="M782" s="32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5"/>
      <c r="AI782" s="5"/>
      <c r="AJ782" s="5"/>
      <c r="AK782" s="5"/>
      <c r="AL782" s="5"/>
      <c r="AM782" s="5"/>
      <c r="AN782" s="5"/>
      <c r="AO782" s="5"/>
      <c r="AP782" s="5"/>
      <c r="AQ782" s="5"/>
      <c r="AR782" s="5"/>
      <c r="AS782" s="5"/>
      <c r="AT782" s="5"/>
      <c r="AU782" s="5"/>
      <c r="AV782" s="5"/>
      <c r="AW782" s="5"/>
      <c r="AX782" s="5"/>
      <c r="AY782" s="5"/>
      <c r="AZ782" s="5"/>
      <c r="BA782" s="5"/>
      <c r="BB782" s="5"/>
      <c r="BC782" s="5"/>
      <c r="BD782" s="5"/>
      <c r="BE782" s="5"/>
      <c r="BF782" s="5"/>
      <c r="BG782" s="5"/>
      <c r="BH782" s="5"/>
      <c r="BI782" s="5"/>
      <c r="BJ782" s="5"/>
      <c r="BK782" s="5"/>
      <c r="BL782" s="5"/>
      <c r="BM782" s="5"/>
      <c r="BN782" s="5"/>
      <c r="BO782" s="5"/>
      <c r="BP782" s="5"/>
      <c r="BQ782" s="5"/>
      <c r="BR782" s="5"/>
      <c r="BS782" s="5"/>
      <c r="BT782" s="5"/>
      <c r="BU782" s="5"/>
      <c r="BV782" s="5"/>
      <c r="BW782" s="5"/>
      <c r="BX782" s="5"/>
      <c r="BY782" s="5"/>
      <c r="BZ782" s="5"/>
      <c r="CA782" s="5"/>
      <c r="CB782" s="5"/>
      <c r="CC782" s="5"/>
      <c r="CD782" s="5"/>
      <c r="CE782" s="5"/>
      <c r="CF782" s="5"/>
      <c r="CG782" s="5"/>
      <c r="CH782" s="5"/>
      <c r="CI782" s="5"/>
    </row>
    <row r="783" ht="14.25" customHeight="1">
      <c r="B783" s="1"/>
      <c r="D783" s="1"/>
      <c r="E783" s="33"/>
      <c r="F783" s="34"/>
      <c r="G783" s="5"/>
      <c r="H783" s="5"/>
      <c r="I783" s="5"/>
      <c r="J783" s="5"/>
      <c r="K783" s="5"/>
      <c r="L783" s="5"/>
      <c r="M783" s="32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5"/>
      <c r="AI783" s="5"/>
      <c r="AJ783" s="5"/>
      <c r="AK783" s="5"/>
      <c r="AL783" s="5"/>
      <c r="AM783" s="5"/>
      <c r="AN783" s="5"/>
      <c r="AO783" s="5"/>
      <c r="AP783" s="5"/>
      <c r="AQ783" s="5"/>
      <c r="AR783" s="5"/>
      <c r="AS783" s="5"/>
      <c r="AT783" s="5"/>
      <c r="AU783" s="5"/>
      <c r="AV783" s="5"/>
      <c r="AW783" s="5"/>
      <c r="AX783" s="5"/>
      <c r="AY783" s="5"/>
      <c r="AZ783" s="5"/>
      <c r="BA783" s="5"/>
      <c r="BB783" s="5"/>
      <c r="BC783" s="5"/>
      <c r="BD783" s="5"/>
      <c r="BE783" s="5"/>
      <c r="BF783" s="5"/>
      <c r="BG783" s="5"/>
      <c r="BH783" s="5"/>
      <c r="BI783" s="5"/>
      <c r="BJ783" s="5"/>
      <c r="BK783" s="5"/>
      <c r="BL783" s="5"/>
      <c r="BM783" s="5"/>
      <c r="BN783" s="5"/>
      <c r="BO783" s="5"/>
      <c r="BP783" s="5"/>
      <c r="BQ783" s="5"/>
      <c r="BR783" s="5"/>
      <c r="BS783" s="5"/>
      <c r="BT783" s="5"/>
      <c r="BU783" s="5"/>
      <c r="BV783" s="5"/>
      <c r="BW783" s="5"/>
      <c r="BX783" s="5"/>
      <c r="BY783" s="5"/>
      <c r="BZ783" s="5"/>
      <c r="CA783" s="5"/>
      <c r="CB783" s="5"/>
      <c r="CC783" s="5"/>
      <c r="CD783" s="5"/>
      <c r="CE783" s="5"/>
      <c r="CF783" s="5"/>
      <c r="CG783" s="5"/>
      <c r="CH783" s="5"/>
      <c r="CI783" s="5"/>
    </row>
    <row r="784" ht="14.25" customHeight="1">
      <c r="B784" s="1"/>
      <c r="D784" s="1"/>
      <c r="E784" s="33"/>
      <c r="F784" s="34"/>
      <c r="G784" s="5"/>
      <c r="H784" s="5"/>
      <c r="I784" s="5"/>
      <c r="J784" s="5"/>
      <c r="K784" s="5"/>
      <c r="L784" s="5"/>
      <c r="M784" s="32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5"/>
      <c r="AI784" s="5"/>
      <c r="AJ784" s="5"/>
      <c r="AK784" s="5"/>
      <c r="AL784" s="5"/>
      <c r="AM784" s="5"/>
      <c r="AN784" s="5"/>
      <c r="AO784" s="5"/>
      <c r="AP784" s="5"/>
      <c r="AQ784" s="5"/>
      <c r="AR784" s="5"/>
      <c r="AS784" s="5"/>
      <c r="AT784" s="5"/>
      <c r="AU784" s="5"/>
      <c r="AV784" s="5"/>
      <c r="AW784" s="5"/>
      <c r="AX784" s="5"/>
      <c r="AY784" s="5"/>
      <c r="AZ784" s="5"/>
      <c r="BA784" s="5"/>
      <c r="BB784" s="5"/>
      <c r="BC784" s="5"/>
      <c r="BD784" s="5"/>
      <c r="BE784" s="5"/>
      <c r="BF784" s="5"/>
      <c r="BG784" s="5"/>
      <c r="BH784" s="5"/>
      <c r="BI784" s="5"/>
      <c r="BJ784" s="5"/>
      <c r="BK784" s="5"/>
      <c r="BL784" s="5"/>
      <c r="BM784" s="5"/>
      <c r="BN784" s="5"/>
      <c r="BO784" s="5"/>
      <c r="BP784" s="5"/>
      <c r="BQ784" s="5"/>
      <c r="BR784" s="5"/>
      <c r="BS784" s="5"/>
      <c r="BT784" s="5"/>
      <c r="BU784" s="5"/>
      <c r="BV784" s="5"/>
      <c r="BW784" s="5"/>
      <c r="BX784" s="5"/>
      <c r="BY784" s="5"/>
      <c r="BZ784" s="5"/>
      <c r="CA784" s="5"/>
      <c r="CB784" s="5"/>
      <c r="CC784" s="5"/>
      <c r="CD784" s="5"/>
      <c r="CE784" s="5"/>
      <c r="CF784" s="5"/>
      <c r="CG784" s="5"/>
      <c r="CH784" s="5"/>
      <c r="CI784" s="5"/>
    </row>
    <row r="785" ht="14.25" customHeight="1">
      <c r="B785" s="1"/>
      <c r="D785" s="1"/>
      <c r="E785" s="33"/>
      <c r="F785" s="34"/>
      <c r="G785" s="5"/>
      <c r="H785" s="5"/>
      <c r="I785" s="5"/>
      <c r="J785" s="5"/>
      <c r="K785" s="5"/>
      <c r="L785" s="5"/>
      <c r="M785" s="32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5"/>
      <c r="AI785" s="5"/>
      <c r="AJ785" s="5"/>
      <c r="AK785" s="5"/>
      <c r="AL785" s="5"/>
      <c r="AM785" s="5"/>
      <c r="AN785" s="5"/>
      <c r="AO785" s="5"/>
      <c r="AP785" s="5"/>
      <c r="AQ785" s="5"/>
      <c r="AR785" s="5"/>
      <c r="AS785" s="5"/>
      <c r="AT785" s="5"/>
      <c r="AU785" s="5"/>
      <c r="AV785" s="5"/>
      <c r="AW785" s="5"/>
      <c r="AX785" s="5"/>
      <c r="AY785" s="5"/>
      <c r="AZ785" s="5"/>
      <c r="BA785" s="5"/>
      <c r="BB785" s="5"/>
      <c r="BC785" s="5"/>
      <c r="BD785" s="5"/>
      <c r="BE785" s="5"/>
      <c r="BF785" s="5"/>
      <c r="BG785" s="5"/>
      <c r="BH785" s="5"/>
      <c r="BI785" s="5"/>
      <c r="BJ785" s="5"/>
      <c r="BK785" s="5"/>
      <c r="BL785" s="5"/>
      <c r="BM785" s="5"/>
      <c r="BN785" s="5"/>
      <c r="BO785" s="5"/>
      <c r="BP785" s="5"/>
      <c r="BQ785" s="5"/>
      <c r="BR785" s="5"/>
      <c r="BS785" s="5"/>
      <c r="BT785" s="5"/>
      <c r="BU785" s="5"/>
      <c r="BV785" s="5"/>
      <c r="BW785" s="5"/>
      <c r="BX785" s="5"/>
      <c r="BY785" s="5"/>
      <c r="BZ785" s="5"/>
      <c r="CA785" s="5"/>
      <c r="CB785" s="5"/>
      <c r="CC785" s="5"/>
      <c r="CD785" s="5"/>
      <c r="CE785" s="5"/>
      <c r="CF785" s="5"/>
      <c r="CG785" s="5"/>
      <c r="CH785" s="5"/>
      <c r="CI785" s="5"/>
    </row>
    <row r="786" ht="14.25" customHeight="1">
      <c r="B786" s="1"/>
      <c r="D786" s="1"/>
      <c r="E786" s="33"/>
      <c r="F786" s="34"/>
      <c r="G786" s="5"/>
      <c r="H786" s="5"/>
      <c r="I786" s="5"/>
      <c r="J786" s="5"/>
      <c r="K786" s="5"/>
      <c r="L786" s="5"/>
      <c r="M786" s="32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  <c r="AE786" s="5"/>
      <c r="AF786" s="5"/>
      <c r="AG786" s="5"/>
      <c r="AH786" s="5"/>
      <c r="AI786" s="5"/>
      <c r="AJ786" s="5"/>
      <c r="AK786" s="5"/>
      <c r="AL786" s="5"/>
      <c r="AM786" s="5"/>
      <c r="AN786" s="5"/>
      <c r="AO786" s="5"/>
      <c r="AP786" s="5"/>
      <c r="AQ786" s="5"/>
      <c r="AR786" s="5"/>
      <c r="AS786" s="5"/>
      <c r="AT786" s="5"/>
      <c r="AU786" s="5"/>
      <c r="AV786" s="5"/>
      <c r="AW786" s="5"/>
      <c r="AX786" s="5"/>
      <c r="AY786" s="5"/>
      <c r="AZ786" s="5"/>
      <c r="BA786" s="5"/>
      <c r="BB786" s="5"/>
      <c r="BC786" s="5"/>
      <c r="BD786" s="5"/>
      <c r="BE786" s="5"/>
      <c r="BF786" s="5"/>
      <c r="BG786" s="5"/>
      <c r="BH786" s="5"/>
      <c r="BI786" s="5"/>
      <c r="BJ786" s="5"/>
      <c r="BK786" s="5"/>
      <c r="BL786" s="5"/>
      <c r="BM786" s="5"/>
      <c r="BN786" s="5"/>
      <c r="BO786" s="5"/>
      <c r="BP786" s="5"/>
      <c r="BQ786" s="5"/>
      <c r="BR786" s="5"/>
      <c r="BS786" s="5"/>
      <c r="BT786" s="5"/>
      <c r="BU786" s="5"/>
      <c r="BV786" s="5"/>
      <c r="BW786" s="5"/>
      <c r="BX786" s="5"/>
      <c r="BY786" s="5"/>
      <c r="BZ786" s="5"/>
      <c r="CA786" s="5"/>
      <c r="CB786" s="5"/>
      <c r="CC786" s="5"/>
      <c r="CD786" s="5"/>
      <c r="CE786" s="5"/>
      <c r="CF786" s="5"/>
      <c r="CG786" s="5"/>
      <c r="CH786" s="5"/>
      <c r="CI786" s="5"/>
    </row>
    <row r="787" ht="14.25" customHeight="1">
      <c r="B787" s="1"/>
      <c r="D787" s="1"/>
      <c r="E787" s="33"/>
      <c r="F787" s="34"/>
      <c r="G787" s="5"/>
      <c r="H787" s="5"/>
      <c r="I787" s="5"/>
      <c r="J787" s="5"/>
      <c r="K787" s="5"/>
      <c r="L787" s="5"/>
      <c r="M787" s="32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  <c r="AG787" s="5"/>
      <c r="AH787" s="5"/>
      <c r="AI787" s="5"/>
      <c r="AJ787" s="5"/>
      <c r="AK787" s="5"/>
      <c r="AL787" s="5"/>
      <c r="AM787" s="5"/>
      <c r="AN787" s="5"/>
      <c r="AO787" s="5"/>
      <c r="AP787" s="5"/>
      <c r="AQ787" s="5"/>
      <c r="AR787" s="5"/>
      <c r="AS787" s="5"/>
      <c r="AT787" s="5"/>
      <c r="AU787" s="5"/>
      <c r="AV787" s="5"/>
      <c r="AW787" s="5"/>
      <c r="AX787" s="5"/>
      <c r="AY787" s="5"/>
      <c r="AZ787" s="5"/>
      <c r="BA787" s="5"/>
      <c r="BB787" s="5"/>
      <c r="BC787" s="5"/>
      <c r="BD787" s="5"/>
      <c r="BE787" s="5"/>
      <c r="BF787" s="5"/>
      <c r="BG787" s="5"/>
      <c r="BH787" s="5"/>
      <c r="BI787" s="5"/>
      <c r="BJ787" s="5"/>
      <c r="BK787" s="5"/>
      <c r="BL787" s="5"/>
      <c r="BM787" s="5"/>
      <c r="BN787" s="5"/>
      <c r="BO787" s="5"/>
      <c r="BP787" s="5"/>
      <c r="BQ787" s="5"/>
      <c r="BR787" s="5"/>
      <c r="BS787" s="5"/>
      <c r="BT787" s="5"/>
      <c r="BU787" s="5"/>
      <c r="BV787" s="5"/>
      <c r="BW787" s="5"/>
      <c r="BX787" s="5"/>
      <c r="BY787" s="5"/>
      <c r="BZ787" s="5"/>
      <c r="CA787" s="5"/>
      <c r="CB787" s="5"/>
      <c r="CC787" s="5"/>
      <c r="CD787" s="5"/>
      <c r="CE787" s="5"/>
      <c r="CF787" s="5"/>
      <c r="CG787" s="5"/>
      <c r="CH787" s="5"/>
      <c r="CI787" s="5"/>
    </row>
    <row r="788" ht="14.25" customHeight="1">
      <c r="B788" s="1"/>
      <c r="D788" s="1"/>
      <c r="E788" s="33"/>
      <c r="F788" s="34"/>
      <c r="G788" s="5"/>
      <c r="H788" s="5"/>
      <c r="I788" s="5"/>
      <c r="J788" s="5"/>
      <c r="K788" s="5"/>
      <c r="L788" s="5"/>
      <c r="M788" s="32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  <c r="AE788" s="5"/>
      <c r="AF788" s="5"/>
      <c r="AG788" s="5"/>
      <c r="AH788" s="5"/>
      <c r="AI788" s="5"/>
      <c r="AJ788" s="5"/>
      <c r="AK788" s="5"/>
      <c r="AL788" s="5"/>
      <c r="AM788" s="5"/>
      <c r="AN788" s="5"/>
      <c r="AO788" s="5"/>
      <c r="AP788" s="5"/>
      <c r="AQ788" s="5"/>
      <c r="AR788" s="5"/>
      <c r="AS788" s="5"/>
      <c r="AT788" s="5"/>
      <c r="AU788" s="5"/>
      <c r="AV788" s="5"/>
      <c r="AW788" s="5"/>
      <c r="AX788" s="5"/>
      <c r="AY788" s="5"/>
      <c r="AZ788" s="5"/>
      <c r="BA788" s="5"/>
      <c r="BB788" s="5"/>
      <c r="BC788" s="5"/>
      <c r="BD788" s="5"/>
      <c r="BE788" s="5"/>
      <c r="BF788" s="5"/>
      <c r="BG788" s="5"/>
      <c r="BH788" s="5"/>
      <c r="BI788" s="5"/>
      <c r="BJ788" s="5"/>
      <c r="BK788" s="5"/>
      <c r="BL788" s="5"/>
      <c r="BM788" s="5"/>
      <c r="BN788" s="5"/>
      <c r="BO788" s="5"/>
      <c r="BP788" s="5"/>
      <c r="BQ788" s="5"/>
      <c r="BR788" s="5"/>
      <c r="BS788" s="5"/>
      <c r="BT788" s="5"/>
      <c r="BU788" s="5"/>
      <c r="BV788" s="5"/>
      <c r="BW788" s="5"/>
      <c r="BX788" s="5"/>
      <c r="BY788" s="5"/>
      <c r="BZ788" s="5"/>
      <c r="CA788" s="5"/>
      <c r="CB788" s="5"/>
      <c r="CC788" s="5"/>
      <c r="CD788" s="5"/>
      <c r="CE788" s="5"/>
      <c r="CF788" s="5"/>
      <c r="CG788" s="5"/>
      <c r="CH788" s="5"/>
      <c r="CI788" s="5"/>
    </row>
    <row r="789" ht="14.25" customHeight="1">
      <c r="B789" s="1"/>
      <c r="D789" s="1"/>
      <c r="E789" s="33"/>
      <c r="F789" s="34"/>
      <c r="G789" s="5"/>
      <c r="H789" s="5"/>
      <c r="I789" s="5"/>
      <c r="J789" s="5"/>
      <c r="K789" s="5"/>
      <c r="L789" s="5"/>
      <c r="M789" s="32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  <c r="AG789" s="5"/>
      <c r="AH789" s="5"/>
      <c r="AI789" s="5"/>
      <c r="AJ789" s="5"/>
      <c r="AK789" s="5"/>
      <c r="AL789" s="5"/>
      <c r="AM789" s="5"/>
      <c r="AN789" s="5"/>
      <c r="AO789" s="5"/>
      <c r="AP789" s="5"/>
      <c r="AQ789" s="5"/>
      <c r="AR789" s="5"/>
      <c r="AS789" s="5"/>
      <c r="AT789" s="5"/>
      <c r="AU789" s="5"/>
      <c r="AV789" s="5"/>
      <c r="AW789" s="5"/>
      <c r="AX789" s="5"/>
      <c r="AY789" s="5"/>
      <c r="AZ789" s="5"/>
      <c r="BA789" s="5"/>
      <c r="BB789" s="5"/>
      <c r="BC789" s="5"/>
      <c r="BD789" s="5"/>
      <c r="BE789" s="5"/>
      <c r="BF789" s="5"/>
      <c r="BG789" s="5"/>
      <c r="BH789" s="5"/>
      <c r="BI789" s="5"/>
      <c r="BJ789" s="5"/>
      <c r="BK789" s="5"/>
      <c r="BL789" s="5"/>
      <c r="BM789" s="5"/>
      <c r="BN789" s="5"/>
      <c r="BO789" s="5"/>
      <c r="BP789" s="5"/>
      <c r="BQ789" s="5"/>
      <c r="BR789" s="5"/>
      <c r="BS789" s="5"/>
      <c r="BT789" s="5"/>
      <c r="BU789" s="5"/>
      <c r="BV789" s="5"/>
      <c r="BW789" s="5"/>
      <c r="BX789" s="5"/>
      <c r="BY789" s="5"/>
      <c r="BZ789" s="5"/>
      <c r="CA789" s="5"/>
      <c r="CB789" s="5"/>
      <c r="CC789" s="5"/>
      <c r="CD789" s="5"/>
      <c r="CE789" s="5"/>
      <c r="CF789" s="5"/>
      <c r="CG789" s="5"/>
      <c r="CH789" s="5"/>
      <c r="CI789" s="5"/>
    </row>
    <row r="790" ht="14.25" customHeight="1">
      <c r="B790" s="1"/>
      <c r="D790" s="1"/>
      <c r="E790" s="33"/>
      <c r="F790" s="34"/>
      <c r="G790" s="5"/>
      <c r="H790" s="5"/>
      <c r="I790" s="5"/>
      <c r="J790" s="5"/>
      <c r="K790" s="5"/>
      <c r="L790" s="5"/>
      <c r="M790" s="32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  <c r="AG790" s="5"/>
      <c r="AH790" s="5"/>
      <c r="AI790" s="5"/>
      <c r="AJ790" s="5"/>
      <c r="AK790" s="5"/>
      <c r="AL790" s="5"/>
      <c r="AM790" s="5"/>
      <c r="AN790" s="5"/>
      <c r="AO790" s="5"/>
      <c r="AP790" s="5"/>
      <c r="AQ790" s="5"/>
      <c r="AR790" s="5"/>
      <c r="AS790" s="5"/>
      <c r="AT790" s="5"/>
      <c r="AU790" s="5"/>
      <c r="AV790" s="5"/>
      <c r="AW790" s="5"/>
      <c r="AX790" s="5"/>
      <c r="AY790" s="5"/>
      <c r="AZ790" s="5"/>
      <c r="BA790" s="5"/>
      <c r="BB790" s="5"/>
      <c r="BC790" s="5"/>
      <c r="BD790" s="5"/>
      <c r="BE790" s="5"/>
      <c r="BF790" s="5"/>
      <c r="BG790" s="5"/>
      <c r="BH790" s="5"/>
      <c r="BI790" s="5"/>
      <c r="BJ790" s="5"/>
      <c r="BK790" s="5"/>
      <c r="BL790" s="5"/>
      <c r="BM790" s="5"/>
      <c r="BN790" s="5"/>
      <c r="BO790" s="5"/>
      <c r="BP790" s="5"/>
      <c r="BQ790" s="5"/>
      <c r="BR790" s="5"/>
      <c r="BS790" s="5"/>
      <c r="BT790" s="5"/>
      <c r="BU790" s="5"/>
      <c r="BV790" s="5"/>
      <c r="BW790" s="5"/>
      <c r="BX790" s="5"/>
      <c r="BY790" s="5"/>
      <c r="BZ790" s="5"/>
      <c r="CA790" s="5"/>
      <c r="CB790" s="5"/>
      <c r="CC790" s="5"/>
      <c r="CD790" s="5"/>
      <c r="CE790" s="5"/>
      <c r="CF790" s="5"/>
      <c r="CG790" s="5"/>
      <c r="CH790" s="5"/>
      <c r="CI790" s="5"/>
    </row>
    <row r="791" ht="14.25" customHeight="1">
      <c r="B791" s="1"/>
      <c r="D791" s="1"/>
      <c r="E791" s="33"/>
      <c r="F791" s="34"/>
      <c r="G791" s="5"/>
      <c r="H791" s="5"/>
      <c r="I791" s="5"/>
      <c r="J791" s="5"/>
      <c r="K791" s="5"/>
      <c r="L791" s="5"/>
      <c r="M791" s="32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  <c r="AE791" s="5"/>
      <c r="AF791" s="5"/>
      <c r="AG791" s="5"/>
      <c r="AH791" s="5"/>
      <c r="AI791" s="5"/>
      <c r="AJ791" s="5"/>
      <c r="AK791" s="5"/>
      <c r="AL791" s="5"/>
      <c r="AM791" s="5"/>
      <c r="AN791" s="5"/>
      <c r="AO791" s="5"/>
      <c r="AP791" s="5"/>
      <c r="AQ791" s="5"/>
      <c r="AR791" s="5"/>
      <c r="AS791" s="5"/>
      <c r="AT791" s="5"/>
      <c r="AU791" s="5"/>
      <c r="AV791" s="5"/>
      <c r="AW791" s="5"/>
      <c r="AX791" s="5"/>
      <c r="AY791" s="5"/>
      <c r="AZ791" s="5"/>
      <c r="BA791" s="5"/>
      <c r="BB791" s="5"/>
      <c r="BC791" s="5"/>
      <c r="BD791" s="5"/>
      <c r="BE791" s="5"/>
      <c r="BF791" s="5"/>
      <c r="BG791" s="5"/>
      <c r="BH791" s="5"/>
      <c r="BI791" s="5"/>
      <c r="BJ791" s="5"/>
      <c r="BK791" s="5"/>
      <c r="BL791" s="5"/>
      <c r="BM791" s="5"/>
      <c r="BN791" s="5"/>
      <c r="BO791" s="5"/>
      <c r="BP791" s="5"/>
      <c r="BQ791" s="5"/>
      <c r="BR791" s="5"/>
      <c r="BS791" s="5"/>
      <c r="BT791" s="5"/>
      <c r="BU791" s="5"/>
      <c r="BV791" s="5"/>
      <c r="BW791" s="5"/>
      <c r="BX791" s="5"/>
      <c r="BY791" s="5"/>
      <c r="BZ791" s="5"/>
      <c r="CA791" s="5"/>
      <c r="CB791" s="5"/>
      <c r="CC791" s="5"/>
      <c r="CD791" s="5"/>
      <c r="CE791" s="5"/>
      <c r="CF791" s="5"/>
      <c r="CG791" s="5"/>
      <c r="CH791" s="5"/>
      <c r="CI791" s="5"/>
    </row>
    <row r="792" ht="14.25" customHeight="1">
      <c r="B792" s="1"/>
      <c r="D792" s="1"/>
      <c r="E792" s="33"/>
      <c r="F792" s="34"/>
      <c r="G792" s="5"/>
      <c r="H792" s="5"/>
      <c r="I792" s="5"/>
      <c r="J792" s="5"/>
      <c r="K792" s="5"/>
      <c r="L792" s="5"/>
      <c r="M792" s="32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  <c r="AE792" s="5"/>
      <c r="AF792" s="5"/>
      <c r="AG792" s="5"/>
      <c r="AH792" s="5"/>
      <c r="AI792" s="5"/>
      <c r="AJ792" s="5"/>
      <c r="AK792" s="5"/>
      <c r="AL792" s="5"/>
      <c r="AM792" s="5"/>
      <c r="AN792" s="5"/>
      <c r="AO792" s="5"/>
      <c r="AP792" s="5"/>
      <c r="AQ792" s="5"/>
      <c r="AR792" s="5"/>
      <c r="AS792" s="5"/>
      <c r="AT792" s="5"/>
      <c r="AU792" s="5"/>
      <c r="AV792" s="5"/>
      <c r="AW792" s="5"/>
      <c r="AX792" s="5"/>
      <c r="AY792" s="5"/>
      <c r="AZ792" s="5"/>
      <c r="BA792" s="5"/>
      <c r="BB792" s="5"/>
      <c r="BC792" s="5"/>
      <c r="BD792" s="5"/>
      <c r="BE792" s="5"/>
      <c r="BF792" s="5"/>
      <c r="BG792" s="5"/>
      <c r="BH792" s="5"/>
      <c r="BI792" s="5"/>
      <c r="BJ792" s="5"/>
      <c r="BK792" s="5"/>
      <c r="BL792" s="5"/>
      <c r="BM792" s="5"/>
      <c r="BN792" s="5"/>
      <c r="BO792" s="5"/>
      <c r="BP792" s="5"/>
      <c r="BQ792" s="5"/>
      <c r="BR792" s="5"/>
      <c r="BS792" s="5"/>
      <c r="BT792" s="5"/>
      <c r="BU792" s="5"/>
      <c r="BV792" s="5"/>
      <c r="BW792" s="5"/>
      <c r="BX792" s="5"/>
      <c r="BY792" s="5"/>
      <c r="BZ792" s="5"/>
      <c r="CA792" s="5"/>
      <c r="CB792" s="5"/>
      <c r="CC792" s="5"/>
      <c r="CD792" s="5"/>
      <c r="CE792" s="5"/>
      <c r="CF792" s="5"/>
      <c r="CG792" s="5"/>
      <c r="CH792" s="5"/>
      <c r="CI792" s="5"/>
    </row>
    <row r="793" ht="14.25" customHeight="1">
      <c r="B793" s="1"/>
      <c r="D793" s="1"/>
      <c r="E793" s="33"/>
      <c r="F793" s="34"/>
      <c r="G793" s="5"/>
      <c r="H793" s="5"/>
      <c r="I793" s="5"/>
      <c r="J793" s="5"/>
      <c r="K793" s="5"/>
      <c r="L793" s="5"/>
      <c r="M793" s="32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  <c r="AG793" s="5"/>
      <c r="AH793" s="5"/>
      <c r="AI793" s="5"/>
      <c r="AJ793" s="5"/>
      <c r="AK793" s="5"/>
      <c r="AL793" s="5"/>
      <c r="AM793" s="5"/>
      <c r="AN793" s="5"/>
      <c r="AO793" s="5"/>
      <c r="AP793" s="5"/>
      <c r="AQ793" s="5"/>
      <c r="AR793" s="5"/>
      <c r="AS793" s="5"/>
      <c r="AT793" s="5"/>
      <c r="AU793" s="5"/>
      <c r="AV793" s="5"/>
      <c r="AW793" s="5"/>
      <c r="AX793" s="5"/>
      <c r="AY793" s="5"/>
      <c r="AZ793" s="5"/>
      <c r="BA793" s="5"/>
      <c r="BB793" s="5"/>
      <c r="BC793" s="5"/>
      <c r="BD793" s="5"/>
      <c r="BE793" s="5"/>
      <c r="BF793" s="5"/>
      <c r="BG793" s="5"/>
      <c r="BH793" s="5"/>
      <c r="BI793" s="5"/>
      <c r="BJ793" s="5"/>
      <c r="BK793" s="5"/>
      <c r="BL793" s="5"/>
      <c r="BM793" s="5"/>
      <c r="BN793" s="5"/>
      <c r="BO793" s="5"/>
      <c r="BP793" s="5"/>
      <c r="BQ793" s="5"/>
      <c r="BR793" s="5"/>
      <c r="BS793" s="5"/>
      <c r="BT793" s="5"/>
      <c r="BU793" s="5"/>
      <c r="BV793" s="5"/>
      <c r="BW793" s="5"/>
      <c r="BX793" s="5"/>
      <c r="BY793" s="5"/>
      <c r="BZ793" s="5"/>
      <c r="CA793" s="5"/>
      <c r="CB793" s="5"/>
      <c r="CC793" s="5"/>
      <c r="CD793" s="5"/>
      <c r="CE793" s="5"/>
      <c r="CF793" s="5"/>
      <c r="CG793" s="5"/>
      <c r="CH793" s="5"/>
      <c r="CI793" s="5"/>
    </row>
    <row r="794" ht="14.25" customHeight="1">
      <c r="B794" s="1"/>
      <c r="D794" s="1"/>
      <c r="E794" s="33"/>
      <c r="F794" s="34"/>
      <c r="G794" s="5"/>
      <c r="H794" s="5"/>
      <c r="I794" s="5"/>
      <c r="J794" s="5"/>
      <c r="K794" s="5"/>
      <c r="L794" s="5"/>
      <c r="M794" s="32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  <c r="AE794" s="5"/>
      <c r="AF794" s="5"/>
      <c r="AG794" s="5"/>
      <c r="AH794" s="5"/>
      <c r="AI794" s="5"/>
      <c r="AJ794" s="5"/>
      <c r="AK794" s="5"/>
      <c r="AL794" s="5"/>
      <c r="AM794" s="5"/>
      <c r="AN794" s="5"/>
      <c r="AO794" s="5"/>
      <c r="AP794" s="5"/>
      <c r="AQ794" s="5"/>
      <c r="AR794" s="5"/>
      <c r="AS794" s="5"/>
      <c r="AT794" s="5"/>
      <c r="AU794" s="5"/>
      <c r="AV794" s="5"/>
      <c r="AW794" s="5"/>
      <c r="AX794" s="5"/>
      <c r="AY794" s="5"/>
      <c r="AZ794" s="5"/>
      <c r="BA794" s="5"/>
      <c r="BB794" s="5"/>
      <c r="BC794" s="5"/>
      <c r="BD794" s="5"/>
      <c r="BE794" s="5"/>
      <c r="BF794" s="5"/>
      <c r="BG794" s="5"/>
      <c r="BH794" s="5"/>
      <c r="BI794" s="5"/>
      <c r="BJ794" s="5"/>
      <c r="BK794" s="5"/>
      <c r="BL794" s="5"/>
      <c r="BM794" s="5"/>
      <c r="BN794" s="5"/>
      <c r="BO794" s="5"/>
      <c r="BP794" s="5"/>
      <c r="BQ794" s="5"/>
      <c r="BR794" s="5"/>
      <c r="BS794" s="5"/>
      <c r="BT794" s="5"/>
      <c r="BU794" s="5"/>
      <c r="BV794" s="5"/>
      <c r="BW794" s="5"/>
      <c r="BX794" s="5"/>
      <c r="BY794" s="5"/>
      <c r="BZ794" s="5"/>
      <c r="CA794" s="5"/>
      <c r="CB794" s="5"/>
      <c r="CC794" s="5"/>
      <c r="CD794" s="5"/>
      <c r="CE794" s="5"/>
      <c r="CF794" s="5"/>
      <c r="CG794" s="5"/>
      <c r="CH794" s="5"/>
      <c r="CI794" s="5"/>
    </row>
    <row r="795" ht="14.25" customHeight="1">
      <c r="B795" s="1"/>
      <c r="D795" s="1"/>
      <c r="E795" s="33"/>
      <c r="F795" s="34"/>
      <c r="G795" s="5"/>
      <c r="H795" s="5"/>
      <c r="I795" s="5"/>
      <c r="J795" s="5"/>
      <c r="K795" s="5"/>
      <c r="L795" s="5"/>
      <c r="M795" s="32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  <c r="AE795" s="5"/>
      <c r="AF795" s="5"/>
      <c r="AG795" s="5"/>
      <c r="AH795" s="5"/>
      <c r="AI795" s="5"/>
      <c r="AJ795" s="5"/>
      <c r="AK795" s="5"/>
      <c r="AL795" s="5"/>
      <c r="AM795" s="5"/>
      <c r="AN795" s="5"/>
      <c r="AO795" s="5"/>
      <c r="AP795" s="5"/>
      <c r="AQ795" s="5"/>
      <c r="AR795" s="5"/>
      <c r="AS795" s="5"/>
      <c r="AT795" s="5"/>
      <c r="AU795" s="5"/>
      <c r="AV795" s="5"/>
      <c r="AW795" s="5"/>
      <c r="AX795" s="5"/>
      <c r="AY795" s="5"/>
      <c r="AZ795" s="5"/>
      <c r="BA795" s="5"/>
      <c r="BB795" s="5"/>
      <c r="BC795" s="5"/>
      <c r="BD795" s="5"/>
      <c r="BE795" s="5"/>
      <c r="BF795" s="5"/>
      <c r="BG795" s="5"/>
      <c r="BH795" s="5"/>
      <c r="BI795" s="5"/>
      <c r="BJ795" s="5"/>
      <c r="BK795" s="5"/>
      <c r="BL795" s="5"/>
      <c r="BM795" s="5"/>
      <c r="BN795" s="5"/>
      <c r="BO795" s="5"/>
      <c r="BP795" s="5"/>
      <c r="BQ795" s="5"/>
      <c r="BR795" s="5"/>
      <c r="BS795" s="5"/>
      <c r="BT795" s="5"/>
      <c r="BU795" s="5"/>
      <c r="BV795" s="5"/>
      <c r="BW795" s="5"/>
      <c r="BX795" s="5"/>
      <c r="BY795" s="5"/>
      <c r="BZ795" s="5"/>
      <c r="CA795" s="5"/>
      <c r="CB795" s="5"/>
      <c r="CC795" s="5"/>
      <c r="CD795" s="5"/>
      <c r="CE795" s="5"/>
      <c r="CF795" s="5"/>
      <c r="CG795" s="5"/>
      <c r="CH795" s="5"/>
      <c r="CI795" s="5"/>
    </row>
    <row r="796" ht="14.25" customHeight="1">
      <c r="B796" s="1"/>
      <c r="D796" s="1"/>
      <c r="E796" s="33"/>
      <c r="F796" s="34"/>
      <c r="G796" s="5"/>
      <c r="H796" s="5"/>
      <c r="I796" s="5"/>
      <c r="J796" s="5"/>
      <c r="K796" s="5"/>
      <c r="L796" s="5"/>
      <c r="M796" s="32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  <c r="AG796" s="5"/>
      <c r="AH796" s="5"/>
      <c r="AI796" s="5"/>
      <c r="AJ796" s="5"/>
      <c r="AK796" s="5"/>
      <c r="AL796" s="5"/>
      <c r="AM796" s="5"/>
      <c r="AN796" s="5"/>
      <c r="AO796" s="5"/>
      <c r="AP796" s="5"/>
      <c r="AQ796" s="5"/>
      <c r="AR796" s="5"/>
      <c r="AS796" s="5"/>
      <c r="AT796" s="5"/>
      <c r="AU796" s="5"/>
      <c r="AV796" s="5"/>
      <c r="AW796" s="5"/>
      <c r="AX796" s="5"/>
      <c r="AY796" s="5"/>
      <c r="AZ796" s="5"/>
      <c r="BA796" s="5"/>
      <c r="BB796" s="5"/>
      <c r="BC796" s="5"/>
      <c r="BD796" s="5"/>
      <c r="BE796" s="5"/>
      <c r="BF796" s="5"/>
      <c r="BG796" s="5"/>
      <c r="BH796" s="5"/>
      <c r="BI796" s="5"/>
      <c r="BJ796" s="5"/>
      <c r="BK796" s="5"/>
      <c r="BL796" s="5"/>
      <c r="BM796" s="5"/>
      <c r="BN796" s="5"/>
      <c r="BO796" s="5"/>
      <c r="BP796" s="5"/>
      <c r="BQ796" s="5"/>
      <c r="BR796" s="5"/>
      <c r="BS796" s="5"/>
      <c r="BT796" s="5"/>
      <c r="BU796" s="5"/>
      <c r="BV796" s="5"/>
      <c r="BW796" s="5"/>
      <c r="BX796" s="5"/>
      <c r="BY796" s="5"/>
      <c r="BZ796" s="5"/>
      <c r="CA796" s="5"/>
      <c r="CB796" s="5"/>
      <c r="CC796" s="5"/>
      <c r="CD796" s="5"/>
      <c r="CE796" s="5"/>
      <c r="CF796" s="5"/>
      <c r="CG796" s="5"/>
      <c r="CH796" s="5"/>
      <c r="CI796" s="5"/>
    </row>
    <row r="797" ht="14.25" customHeight="1">
      <c r="B797" s="1"/>
      <c r="D797" s="1"/>
      <c r="E797" s="33"/>
      <c r="F797" s="34"/>
      <c r="G797" s="5"/>
      <c r="H797" s="5"/>
      <c r="I797" s="5"/>
      <c r="J797" s="5"/>
      <c r="K797" s="5"/>
      <c r="L797" s="5"/>
      <c r="M797" s="32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  <c r="AG797" s="5"/>
      <c r="AH797" s="5"/>
      <c r="AI797" s="5"/>
      <c r="AJ797" s="5"/>
      <c r="AK797" s="5"/>
      <c r="AL797" s="5"/>
      <c r="AM797" s="5"/>
      <c r="AN797" s="5"/>
      <c r="AO797" s="5"/>
      <c r="AP797" s="5"/>
      <c r="AQ797" s="5"/>
      <c r="AR797" s="5"/>
      <c r="AS797" s="5"/>
      <c r="AT797" s="5"/>
      <c r="AU797" s="5"/>
      <c r="AV797" s="5"/>
      <c r="AW797" s="5"/>
      <c r="AX797" s="5"/>
      <c r="AY797" s="5"/>
      <c r="AZ797" s="5"/>
      <c r="BA797" s="5"/>
      <c r="BB797" s="5"/>
      <c r="BC797" s="5"/>
      <c r="BD797" s="5"/>
      <c r="BE797" s="5"/>
      <c r="BF797" s="5"/>
      <c r="BG797" s="5"/>
      <c r="BH797" s="5"/>
      <c r="BI797" s="5"/>
      <c r="BJ797" s="5"/>
      <c r="BK797" s="5"/>
      <c r="BL797" s="5"/>
      <c r="BM797" s="5"/>
      <c r="BN797" s="5"/>
      <c r="BO797" s="5"/>
      <c r="BP797" s="5"/>
      <c r="BQ797" s="5"/>
      <c r="BR797" s="5"/>
      <c r="BS797" s="5"/>
      <c r="BT797" s="5"/>
      <c r="BU797" s="5"/>
      <c r="BV797" s="5"/>
      <c r="BW797" s="5"/>
      <c r="BX797" s="5"/>
      <c r="BY797" s="5"/>
      <c r="BZ797" s="5"/>
      <c r="CA797" s="5"/>
      <c r="CB797" s="5"/>
      <c r="CC797" s="5"/>
      <c r="CD797" s="5"/>
      <c r="CE797" s="5"/>
      <c r="CF797" s="5"/>
      <c r="CG797" s="5"/>
      <c r="CH797" s="5"/>
      <c r="CI797" s="5"/>
    </row>
    <row r="798" ht="14.25" customHeight="1">
      <c r="B798" s="1"/>
      <c r="D798" s="1"/>
      <c r="E798" s="33"/>
      <c r="F798" s="34"/>
      <c r="G798" s="5"/>
      <c r="H798" s="5"/>
      <c r="I798" s="5"/>
      <c r="J798" s="5"/>
      <c r="K798" s="5"/>
      <c r="L798" s="5"/>
      <c r="M798" s="32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  <c r="AE798" s="5"/>
      <c r="AF798" s="5"/>
      <c r="AG798" s="5"/>
      <c r="AH798" s="5"/>
      <c r="AI798" s="5"/>
      <c r="AJ798" s="5"/>
      <c r="AK798" s="5"/>
      <c r="AL798" s="5"/>
      <c r="AM798" s="5"/>
      <c r="AN798" s="5"/>
      <c r="AO798" s="5"/>
      <c r="AP798" s="5"/>
      <c r="AQ798" s="5"/>
      <c r="AR798" s="5"/>
      <c r="AS798" s="5"/>
      <c r="AT798" s="5"/>
      <c r="AU798" s="5"/>
      <c r="AV798" s="5"/>
      <c r="AW798" s="5"/>
      <c r="AX798" s="5"/>
      <c r="AY798" s="5"/>
      <c r="AZ798" s="5"/>
      <c r="BA798" s="5"/>
      <c r="BB798" s="5"/>
      <c r="BC798" s="5"/>
      <c r="BD798" s="5"/>
      <c r="BE798" s="5"/>
      <c r="BF798" s="5"/>
      <c r="BG798" s="5"/>
      <c r="BH798" s="5"/>
      <c r="BI798" s="5"/>
      <c r="BJ798" s="5"/>
      <c r="BK798" s="5"/>
      <c r="BL798" s="5"/>
      <c r="BM798" s="5"/>
      <c r="BN798" s="5"/>
      <c r="BO798" s="5"/>
      <c r="BP798" s="5"/>
      <c r="BQ798" s="5"/>
      <c r="BR798" s="5"/>
      <c r="BS798" s="5"/>
      <c r="BT798" s="5"/>
      <c r="BU798" s="5"/>
      <c r="BV798" s="5"/>
      <c r="BW798" s="5"/>
      <c r="BX798" s="5"/>
      <c r="BY798" s="5"/>
      <c r="BZ798" s="5"/>
      <c r="CA798" s="5"/>
      <c r="CB798" s="5"/>
      <c r="CC798" s="5"/>
      <c r="CD798" s="5"/>
      <c r="CE798" s="5"/>
      <c r="CF798" s="5"/>
      <c r="CG798" s="5"/>
      <c r="CH798" s="5"/>
      <c r="CI798" s="5"/>
    </row>
    <row r="799" ht="14.25" customHeight="1">
      <c r="B799" s="1"/>
      <c r="D799" s="1"/>
      <c r="E799" s="33"/>
      <c r="F799" s="34"/>
      <c r="G799" s="5"/>
      <c r="H799" s="5"/>
      <c r="I799" s="5"/>
      <c r="J799" s="5"/>
      <c r="K799" s="5"/>
      <c r="L799" s="5"/>
      <c r="M799" s="32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  <c r="AG799" s="5"/>
      <c r="AH799" s="5"/>
      <c r="AI799" s="5"/>
      <c r="AJ799" s="5"/>
      <c r="AK799" s="5"/>
      <c r="AL799" s="5"/>
      <c r="AM799" s="5"/>
      <c r="AN799" s="5"/>
      <c r="AO799" s="5"/>
      <c r="AP799" s="5"/>
      <c r="AQ799" s="5"/>
      <c r="AR799" s="5"/>
      <c r="AS799" s="5"/>
      <c r="AT799" s="5"/>
      <c r="AU799" s="5"/>
      <c r="AV799" s="5"/>
      <c r="AW799" s="5"/>
      <c r="AX799" s="5"/>
      <c r="AY799" s="5"/>
      <c r="AZ799" s="5"/>
      <c r="BA799" s="5"/>
      <c r="BB799" s="5"/>
      <c r="BC799" s="5"/>
      <c r="BD799" s="5"/>
      <c r="BE799" s="5"/>
      <c r="BF799" s="5"/>
      <c r="BG799" s="5"/>
      <c r="BH799" s="5"/>
      <c r="BI799" s="5"/>
      <c r="BJ799" s="5"/>
      <c r="BK799" s="5"/>
      <c r="BL799" s="5"/>
      <c r="BM799" s="5"/>
      <c r="BN799" s="5"/>
      <c r="BO799" s="5"/>
      <c r="BP799" s="5"/>
      <c r="BQ799" s="5"/>
      <c r="BR799" s="5"/>
      <c r="BS799" s="5"/>
      <c r="BT799" s="5"/>
      <c r="BU799" s="5"/>
      <c r="BV799" s="5"/>
      <c r="BW799" s="5"/>
      <c r="BX799" s="5"/>
      <c r="BY799" s="5"/>
      <c r="BZ799" s="5"/>
      <c r="CA799" s="5"/>
      <c r="CB799" s="5"/>
      <c r="CC799" s="5"/>
      <c r="CD799" s="5"/>
      <c r="CE799" s="5"/>
      <c r="CF799" s="5"/>
      <c r="CG799" s="5"/>
      <c r="CH799" s="5"/>
      <c r="CI799" s="5"/>
    </row>
    <row r="800" ht="14.25" customHeight="1">
      <c r="B800" s="1"/>
      <c r="D800" s="1"/>
      <c r="E800" s="33"/>
      <c r="F800" s="34"/>
      <c r="G800" s="5"/>
      <c r="H800" s="5"/>
      <c r="I800" s="5"/>
      <c r="J800" s="5"/>
      <c r="K800" s="5"/>
      <c r="L800" s="5"/>
      <c r="M800" s="32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  <c r="AE800" s="5"/>
      <c r="AF800" s="5"/>
      <c r="AG800" s="5"/>
      <c r="AH800" s="5"/>
      <c r="AI800" s="5"/>
      <c r="AJ800" s="5"/>
      <c r="AK800" s="5"/>
      <c r="AL800" s="5"/>
      <c r="AM800" s="5"/>
      <c r="AN800" s="5"/>
      <c r="AO800" s="5"/>
      <c r="AP800" s="5"/>
      <c r="AQ800" s="5"/>
      <c r="AR800" s="5"/>
      <c r="AS800" s="5"/>
      <c r="AT800" s="5"/>
      <c r="AU800" s="5"/>
      <c r="AV800" s="5"/>
      <c r="AW800" s="5"/>
      <c r="AX800" s="5"/>
      <c r="AY800" s="5"/>
      <c r="AZ800" s="5"/>
      <c r="BA800" s="5"/>
      <c r="BB800" s="5"/>
      <c r="BC800" s="5"/>
      <c r="BD800" s="5"/>
      <c r="BE800" s="5"/>
      <c r="BF800" s="5"/>
      <c r="BG800" s="5"/>
      <c r="BH800" s="5"/>
      <c r="BI800" s="5"/>
      <c r="BJ800" s="5"/>
      <c r="BK800" s="5"/>
      <c r="BL800" s="5"/>
      <c r="BM800" s="5"/>
      <c r="BN800" s="5"/>
      <c r="BO800" s="5"/>
      <c r="BP800" s="5"/>
      <c r="BQ800" s="5"/>
      <c r="BR800" s="5"/>
      <c r="BS800" s="5"/>
      <c r="BT800" s="5"/>
      <c r="BU800" s="5"/>
      <c r="BV800" s="5"/>
      <c r="BW800" s="5"/>
      <c r="BX800" s="5"/>
      <c r="BY800" s="5"/>
      <c r="BZ800" s="5"/>
      <c r="CA800" s="5"/>
      <c r="CB800" s="5"/>
      <c r="CC800" s="5"/>
      <c r="CD800" s="5"/>
      <c r="CE800" s="5"/>
      <c r="CF800" s="5"/>
      <c r="CG800" s="5"/>
      <c r="CH800" s="5"/>
      <c r="CI800" s="5"/>
    </row>
    <row r="801" ht="14.25" customHeight="1">
      <c r="B801" s="1"/>
      <c r="D801" s="1"/>
      <c r="E801" s="33"/>
      <c r="F801" s="34"/>
      <c r="G801" s="5"/>
      <c r="H801" s="5"/>
      <c r="I801" s="5"/>
      <c r="J801" s="5"/>
      <c r="K801" s="5"/>
      <c r="L801" s="5"/>
      <c r="M801" s="32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  <c r="AE801" s="5"/>
      <c r="AF801" s="5"/>
      <c r="AG801" s="5"/>
      <c r="AH801" s="5"/>
      <c r="AI801" s="5"/>
      <c r="AJ801" s="5"/>
      <c r="AK801" s="5"/>
      <c r="AL801" s="5"/>
      <c r="AM801" s="5"/>
      <c r="AN801" s="5"/>
      <c r="AO801" s="5"/>
      <c r="AP801" s="5"/>
      <c r="AQ801" s="5"/>
      <c r="AR801" s="5"/>
      <c r="AS801" s="5"/>
      <c r="AT801" s="5"/>
      <c r="AU801" s="5"/>
      <c r="AV801" s="5"/>
      <c r="AW801" s="5"/>
      <c r="AX801" s="5"/>
      <c r="AY801" s="5"/>
      <c r="AZ801" s="5"/>
      <c r="BA801" s="5"/>
      <c r="BB801" s="5"/>
      <c r="BC801" s="5"/>
      <c r="BD801" s="5"/>
      <c r="BE801" s="5"/>
      <c r="BF801" s="5"/>
      <c r="BG801" s="5"/>
      <c r="BH801" s="5"/>
      <c r="BI801" s="5"/>
      <c r="BJ801" s="5"/>
      <c r="BK801" s="5"/>
      <c r="BL801" s="5"/>
      <c r="BM801" s="5"/>
      <c r="BN801" s="5"/>
      <c r="BO801" s="5"/>
      <c r="BP801" s="5"/>
      <c r="BQ801" s="5"/>
      <c r="BR801" s="5"/>
      <c r="BS801" s="5"/>
      <c r="BT801" s="5"/>
      <c r="BU801" s="5"/>
      <c r="BV801" s="5"/>
      <c r="BW801" s="5"/>
      <c r="BX801" s="5"/>
      <c r="BY801" s="5"/>
      <c r="BZ801" s="5"/>
      <c r="CA801" s="5"/>
      <c r="CB801" s="5"/>
      <c r="CC801" s="5"/>
      <c r="CD801" s="5"/>
      <c r="CE801" s="5"/>
      <c r="CF801" s="5"/>
      <c r="CG801" s="5"/>
      <c r="CH801" s="5"/>
      <c r="CI801" s="5"/>
    </row>
    <row r="802" ht="14.25" customHeight="1">
      <c r="B802" s="1"/>
      <c r="D802" s="1"/>
      <c r="E802" s="33"/>
      <c r="F802" s="34"/>
      <c r="G802" s="5"/>
      <c r="H802" s="5"/>
      <c r="I802" s="5"/>
      <c r="J802" s="5"/>
      <c r="K802" s="5"/>
      <c r="L802" s="5"/>
      <c r="M802" s="32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  <c r="AG802" s="5"/>
      <c r="AH802" s="5"/>
      <c r="AI802" s="5"/>
      <c r="AJ802" s="5"/>
      <c r="AK802" s="5"/>
      <c r="AL802" s="5"/>
      <c r="AM802" s="5"/>
      <c r="AN802" s="5"/>
      <c r="AO802" s="5"/>
      <c r="AP802" s="5"/>
      <c r="AQ802" s="5"/>
      <c r="AR802" s="5"/>
      <c r="AS802" s="5"/>
      <c r="AT802" s="5"/>
      <c r="AU802" s="5"/>
      <c r="AV802" s="5"/>
      <c r="AW802" s="5"/>
      <c r="AX802" s="5"/>
      <c r="AY802" s="5"/>
      <c r="AZ802" s="5"/>
      <c r="BA802" s="5"/>
      <c r="BB802" s="5"/>
      <c r="BC802" s="5"/>
      <c r="BD802" s="5"/>
      <c r="BE802" s="5"/>
      <c r="BF802" s="5"/>
      <c r="BG802" s="5"/>
      <c r="BH802" s="5"/>
      <c r="BI802" s="5"/>
      <c r="BJ802" s="5"/>
      <c r="BK802" s="5"/>
      <c r="BL802" s="5"/>
      <c r="BM802" s="5"/>
      <c r="BN802" s="5"/>
      <c r="BO802" s="5"/>
      <c r="BP802" s="5"/>
      <c r="BQ802" s="5"/>
      <c r="BR802" s="5"/>
      <c r="BS802" s="5"/>
      <c r="BT802" s="5"/>
      <c r="BU802" s="5"/>
      <c r="BV802" s="5"/>
      <c r="BW802" s="5"/>
      <c r="BX802" s="5"/>
      <c r="BY802" s="5"/>
      <c r="BZ802" s="5"/>
      <c r="CA802" s="5"/>
      <c r="CB802" s="5"/>
      <c r="CC802" s="5"/>
      <c r="CD802" s="5"/>
      <c r="CE802" s="5"/>
      <c r="CF802" s="5"/>
      <c r="CG802" s="5"/>
      <c r="CH802" s="5"/>
      <c r="CI802" s="5"/>
    </row>
    <row r="803" ht="14.25" customHeight="1">
      <c r="B803" s="1"/>
      <c r="D803" s="1"/>
      <c r="E803" s="33"/>
      <c r="F803" s="34"/>
      <c r="G803" s="5"/>
      <c r="H803" s="5"/>
      <c r="I803" s="5"/>
      <c r="J803" s="5"/>
      <c r="K803" s="5"/>
      <c r="L803" s="5"/>
      <c r="M803" s="32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  <c r="AE803" s="5"/>
      <c r="AF803" s="5"/>
      <c r="AG803" s="5"/>
      <c r="AH803" s="5"/>
      <c r="AI803" s="5"/>
      <c r="AJ803" s="5"/>
      <c r="AK803" s="5"/>
      <c r="AL803" s="5"/>
      <c r="AM803" s="5"/>
      <c r="AN803" s="5"/>
      <c r="AO803" s="5"/>
      <c r="AP803" s="5"/>
      <c r="AQ803" s="5"/>
      <c r="AR803" s="5"/>
      <c r="AS803" s="5"/>
      <c r="AT803" s="5"/>
      <c r="AU803" s="5"/>
      <c r="AV803" s="5"/>
      <c r="AW803" s="5"/>
      <c r="AX803" s="5"/>
      <c r="AY803" s="5"/>
      <c r="AZ803" s="5"/>
      <c r="BA803" s="5"/>
      <c r="BB803" s="5"/>
      <c r="BC803" s="5"/>
      <c r="BD803" s="5"/>
      <c r="BE803" s="5"/>
      <c r="BF803" s="5"/>
      <c r="BG803" s="5"/>
      <c r="BH803" s="5"/>
      <c r="BI803" s="5"/>
      <c r="BJ803" s="5"/>
      <c r="BK803" s="5"/>
      <c r="BL803" s="5"/>
      <c r="BM803" s="5"/>
      <c r="BN803" s="5"/>
      <c r="BO803" s="5"/>
      <c r="BP803" s="5"/>
      <c r="BQ803" s="5"/>
      <c r="BR803" s="5"/>
      <c r="BS803" s="5"/>
      <c r="BT803" s="5"/>
      <c r="BU803" s="5"/>
      <c r="BV803" s="5"/>
      <c r="BW803" s="5"/>
      <c r="BX803" s="5"/>
      <c r="BY803" s="5"/>
      <c r="BZ803" s="5"/>
      <c r="CA803" s="5"/>
      <c r="CB803" s="5"/>
      <c r="CC803" s="5"/>
      <c r="CD803" s="5"/>
      <c r="CE803" s="5"/>
      <c r="CF803" s="5"/>
      <c r="CG803" s="5"/>
      <c r="CH803" s="5"/>
      <c r="CI803" s="5"/>
    </row>
    <row r="804" ht="14.25" customHeight="1">
      <c r="B804" s="1"/>
      <c r="D804" s="1"/>
      <c r="E804" s="33"/>
      <c r="F804" s="34"/>
      <c r="G804" s="5"/>
      <c r="H804" s="5"/>
      <c r="I804" s="5"/>
      <c r="J804" s="5"/>
      <c r="K804" s="5"/>
      <c r="L804" s="5"/>
      <c r="M804" s="32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  <c r="AE804" s="5"/>
      <c r="AF804" s="5"/>
      <c r="AG804" s="5"/>
      <c r="AH804" s="5"/>
      <c r="AI804" s="5"/>
      <c r="AJ804" s="5"/>
      <c r="AK804" s="5"/>
      <c r="AL804" s="5"/>
      <c r="AM804" s="5"/>
      <c r="AN804" s="5"/>
      <c r="AO804" s="5"/>
      <c r="AP804" s="5"/>
      <c r="AQ804" s="5"/>
      <c r="AR804" s="5"/>
      <c r="AS804" s="5"/>
      <c r="AT804" s="5"/>
      <c r="AU804" s="5"/>
      <c r="AV804" s="5"/>
      <c r="AW804" s="5"/>
      <c r="AX804" s="5"/>
      <c r="AY804" s="5"/>
      <c r="AZ804" s="5"/>
      <c r="BA804" s="5"/>
      <c r="BB804" s="5"/>
      <c r="BC804" s="5"/>
      <c r="BD804" s="5"/>
      <c r="BE804" s="5"/>
      <c r="BF804" s="5"/>
      <c r="BG804" s="5"/>
      <c r="BH804" s="5"/>
      <c r="BI804" s="5"/>
      <c r="BJ804" s="5"/>
      <c r="BK804" s="5"/>
      <c r="BL804" s="5"/>
      <c r="BM804" s="5"/>
      <c r="BN804" s="5"/>
      <c r="BO804" s="5"/>
      <c r="BP804" s="5"/>
      <c r="BQ804" s="5"/>
      <c r="BR804" s="5"/>
      <c r="BS804" s="5"/>
      <c r="BT804" s="5"/>
      <c r="BU804" s="5"/>
      <c r="BV804" s="5"/>
      <c r="BW804" s="5"/>
      <c r="BX804" s="5"/>
      <c r="BY804" s="5"/>
      <c r="BZ804" s="5"/>
      <c r="CA804" s="5"/>
      <c r="CB804" s="5"/>
      <c r="CC804" s="5"/>
      <c r="CD804" s="5"/>
      <c r="CE804" s="5"/>
      <c r="CF804" s="5"/>
      <c r="CG804" s="5"/>
      <c r="CH804" s="5"/>
      <c r="CI804" s="5"/>
    </row>
    <row r="805" ht="14.25" customHeight="1">
      <c r="B805" s="1"/>
      <c r="D805" s="1"/>
      <c r="E805" s="33"/>
      <c r="F805" s="34"/>
      <c r="G805" s="5"/>
      <c r="H805" s="5"/>
      <c r="I805" s="5"/>
      <c r="J805" s="5"/>
      <c r="K805" s="5"/>
      <c r="L805" s="5"/>
      <c r="M805" s="32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  <c r="AG805" s="5"/>
      <c r="AH805" s="5"/>
      <c r="AI805" s="5"/>
      <c r="AJ805" s="5"/>
      <c r="AK805" s="5"/>
      <c r="AL805" s="5"/>
      <c r="AM805" s="5"/>
      <c r="AN805" s="5"/>
      <c r="AO805" s="5"/>
      <c r="AP805" s="5"/>
      <c r="AQ805" s="5"/>
      <c r="AR805" s="5"/>
      <c r="AS805" s="5"/>
      <c r="AT805" s="5"/>
      <c r="AU805" s="5"/>
      <c r="AV805" s="5"/>
      <c r="AW805" s="5"/>
      <c r="AX805" s="5"/>
      <c r="AY805" s="5"/>
      <c r="AZ805" s="5"/>
      <c r="BA805" s="5"/>
      <c r="BB805" s="5"/>
      <c r="BC805" s="5"/>
      <c r="BD805" s="5"/>
      <c r="BE805" s="5"/>
      <c r="BF805" s="5"/>
      <c r="BG805" s="5"/>
      <c r="BH805" s="5"/>
      <c r="BI805" s="5"/>
      <c r="BJ805" s="5"/>
      <c r="BK805" s="5"/>
      <c r="BL805" s="5"/>
      <c r="BM805" s="5"/>
      <c r="BN805" s="5"/>
      <c r="BO805" s="5"/>
      <c r="BP805" s="5"/>
      <c r="BQ805" s="5"/>
      <c r="BR805" s="5"/>
      <c r="BS805" s="5"/>
      <c r="BT805" s="5"/>
      <c r="BU805" s="5"/>
      <c r="BV805" s="5"/>
      <c r="BW805" s="5"/>
      <c r="BX805" s="5"/>
      <c r="BY805" s="5"/>
      <c r="BZ805" s="5"/>
      <c r="CA805" s="5"/>
      <c r="CB805" s="5"/>
      <c r="CC805" s="5"/>
      <c r="CD805" s="5"/>
      <c r="CE805" s="5"/>
      <c r="CF805" s="5"/>
      <c r="CG805" s="5"/>
      <c r="CH805" s="5"/>
      <c r="CI805" s="5"/>
    </row>
    <row r="806" ht="14.25" customHeight="1">
      <c r="B806" s="1"/>
      <c r="D806" s="1"/>
      <c r="E806" s="33"/>
      <c r="F806" s="34"/>
      <c r="G806" s="5"/>
      <c r="H806" s="5"/>
      <c r="I806" s="5"/>
      <c r="J806" s="5"/>
      <c r="K806" s="5"/>
      <c r="L806" s="5"/>
      <c r="M806" s="32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  <c r="AG806" s="5"/>
      <c r="AH806" s="5"/>
      <c r="AI806" s="5"/>
      <c r="AJ806" s="5"/>
      <c r="AK806" s="5"/>
      <c r="AL806" s="5"/>
      <c r="AM806" s="5"/>
      <c r="AN806" s="5"/>
      <c r="AO806" s="5"/>
      <c r="AP806" s="5"/>
      <c r="AQ806" s="5"/>
      <c r="AR806" s="5"/>
      <c r="AS806" s="5"/>
      <c r="AT806" s="5"/>
      <c r="AU806" s="5"/>
      <c r="AV806" s="5"/>
      <c r="AW806" s="5"/>
      <c r="AX806" s="5"/>
      <c r="AY806" s="5"/>
      <c r="AZ806" s="5"/>
      <c r="BA806" s="5"/>
      <c r="BB806" s="5"/>
      <c r="BC806" s="5"/>
      <c r="BD806" s="5"/>
      <c r="BE806" s="5"/>
      <c r="BF806" s="5"/>
      <c r="BG806" s="5"/>
      <c r="BH806" s="5"/>
      <c r="BI806" s="5"/>
      <c r="BJ806" s="5"/>
      <c r="BK806" s="5"/>
      <c r="BL806" s="5"/>
      <c r="BM806" s="5"/>
      <c r="BN806" s="5"/>
      <c r="BO806" s="5"/>
      <c r="BP806" s="5"/>
      <c r="BQ806" s="5"/>
      <c r="BR806" s="5"/>
      <c r="BS806" s="5"/>
      <c r="BT806" s="5"/>
      <c r="BU806" s="5"/>
      <c r="BV806" s="5"/>
      <c r="BW806" s="5"/>
      <c r="BX806" s="5"/>
      <c r="BY806" s="5"/>
      <c r="BZ806" s="5"/>
      <c r="CA806" s="5"/>
      <c r="CB806" s="5"/>
      <c r="CC806" s="5"/>
      <c r="CD806" s="5"/>
      <c r="CE806" s="5"/>
      <c r="CF806" s="5"/>
      <c r="CG806" s="5"/>
      <c r="CH806" s="5"/>
      <c r="CI806" s="5"/>
    </row>
    <row r="807" ht="14.25" customHeight="1">
      <c r="B807" s="1"/>
      <c r="D807" s="1"/>
      <c r="E807" s="33"/>
      <c r="F807" s="34"/>
      <c r="G807" s="5"/>
      <c r="H807" s="5"/>
      <c r="I807" s="5"/>
      <c r="J807" s="5"/>
      <c r="K807" s="5"/>
      <c r="L807" s="5"/>
      <c r="M807" s="32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  <c r="AE807" s="5"/>
      <c r="AF807" s="5"/>
      <c r="AG807" s="5"/>
      <c r="AH807" s="5"/>
      <c r="AI807" s="5"/>
      <c r="AJ807" s="5"/>
      <c r="AK807" s="5"/>
      <c r="AL807" s="5"/>
      <c r="AM807" s="5"/>
      <c r="AN807" s="5"/>
      <c r="AO807" s="5"/>
      <c r="AP807" s="5"/>
      <c r="AQ807" s="5"/>
      <c r="AR807" s="5"/>
      <c r="AS807" s="5"/>
      <c r="AT807" s="5"/>
      <c r="AU807" s="5"/>
      <c r="AV807" s="5"/>
      <c r="AW807" s="5"/>
      <c r="AX807" s="5"/>
      <c r="AY807" s="5"/>
      <c r="AZ807" s="5"/>
      <c r="BA807" s="5"/>
      <c r="BB807" s="5"/>
      <c r="BC807" s="5"/>
      <c r="BD807" s="5"/>
      <c r="BE807" s="5"/>
      <c r="BF807" s="5"/>
      <c r="BG807" s="5"/>
      <c r="BH807" s="5"/>
      <c r="BI807" s="5"/>
      <c r="BJ807" s="5"/>
      <c r="BK807" s="5"/>
      <c r="BL807" s="5"/>
      <c r="BM807" s="5"/>
      <c r="BN807" s="5"/>
      <c r="BO807" s="5"/>
      <c r="BP807" s="5"/>
      <c r="BQ807" s="5"/>
      <c r="BR807" s="5"/>
      <c r="BS807" s="5"/>
      <c r="BT807" s="5"/>
      <c r="BU807" s="5"/>
      <c r="BV807" s="5"/>
      <c r="BW807" s="5"/>
      <c r="BX807" s="5"/>
      <c r="BY807" s="5"/>
      <c r="BZ807" s="5"/>
      <c r="CA807" s="5"/>
      <c r="CB807" s="5"/>
      <c r="CC807" s="5"/>
      <c r="CD807" s="5"/>
      <c r="CE807" s="5"/>
      <c r="CF807" s="5"/>
      <c r="CG807" s="5"/>
      <c r="CH807" s="5"/>
      <c r="CI807" s="5"/>
    </row>
    <row r="808" ht="14.25" customHeight="1">
      <c r="B808" s="1"/>
      <c r="D808" s="1"/>
      <c r="E808" s="33"/>
      <c r="F808" s="34"/>
      <c r="G808" s="5"/>
      <c r="H808" s="5"/>
      <c r="I808" s="5"/>
      <c r="J808" s="5"/>
      <c r="K808" s="5"/>
      <c r="L808" s="5"/>
      <c r="M808" s="32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  <c r="AG808" s="5"/>
      <c r="AH808" s="5"/>
      <c r="AI808" s="5"/>
      <c r="AJ808" s="5"/>
      <c r="AK808" s="5"/>
      <c r="AL808" s="5"/>
      <c r="AM808" s="5"/>
      <c r="AN808" s="5"/>
      <c r="AO808" s="5"/>
      <c r="AP808" s="5"/>
      <c r="AQ808" s="5"/>
      <c r="AR808" s="5"/>
      <c r="AS808" s="5"/>
      <c r="AT808" s="5"/>
      <c r="AU808" s="5"/>
      <c r="AV808" s="5"/>
      <c r="AW808" s="5"/>
      <c r="AX808" s="5"/>
      <c r="AY808" s="5"/>
      <c r="AZ808" s="5"/>
      <c r="BA808" s="5"/>
      <c r="BB808" s="5"/>
      <c r="BC808" s="5"/>
      <c r="BD808" s="5"/>
      <c r="BE808" s="5"/>
      <c r="BF808" s="5"/>
      <c r="BG808" s="5"/>
      <c r="BH808" s="5"/>
      <c r="BI808" s="5"/>
      <c r="BJ808" s="5"/>
      <c r="BK808" s="5"/>
      <c r="BL808" s="5"/>
      <c r="BM808" s="5"/>
      <c r="BN808" s="5"/>
      <c r="BO808" s="5"/>
      <c r="BP808" s="5"/>
      <c r="BQ808" s="5"/>
      <c r="BR808" s="5"/>
      <c r="BS808" s="5"/>
      <c r="BT808" s="5"/>
      <c r="BU808" s="5"/>
      <c r="BV808" s="5"/>
      <c r="BW808" s="5"/>
      <c r="BX808" s="5"/>
      <c r="BY808" s="5"/>
      <c r="BZ808" s="5"/>
      <c r="CA808" s="5"/>
      <c r="CB808" s="5"/>
      <c r="CC808" s="5"/>
      <c r="CD808" s="5"/>
      <c r="CE808" s="5"/>
      <c r="CF808" s="5"/>
      <c r="CG808" s="5"/>
      <c r="CH808" s="5"/>
      <c r="CI808" s="5"/>
    </row>
    <row r="809" ht="14.25" customHeight="1">
      <c r="B809" s="1"/>
      <c r="D809" s="1"/>
      <c r="E809" s="33"/>
      <c r="F809" s="34"/>
      <c r="G809" s="5"/>
      <c r="H809" s="5"/>
      <c r="I809" s="5"/>
      <c r="J809" s="5"/>
      <c r="K809" s="5"/>
      <c r="L809" s="5"/>
      <c r="M809" s="32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  <c r="AE809" s="5"/>
      <c r="AF809" s="5"/>
      <c r="AG809" s="5"/>
      <c r="AH809" s="5"/>
      <c r="AI809" s="5"/>
      <c r="AJ809" s="5"/>
      <c r="AK809" s="5"/>
      <c r="AL809" s="5"/>
      <c r="AM809" s="5"/>
      <c r="AN809" s="5"/>
      <c r="AO809" s="5"/>
      <c r="AP809" s="5"/>
      <c r="AQ809" s="5"/>
      <c r="AR809" s="5"/>
      <c r="AS809" s="5"/>
      <c r="AT809" s="5"/>
      <c r="AU809" s="5"/>
      <c r="AV809" s="5"/>
      <c r="AW809" s="5"/>
      <c r="AX809" s="5"/>
      <c r="AY809" s="5"/>
      <c r="AZ809" s="5"/>
      <c r="BA809" s="5"/>
      <c r="BB809" s="5"/>
      <c r="BC809" s="5"/>
      <c r="BD809" s="5"/>
      <c r="BE809" s="5"/>
      <c r="BF809" s="5"/>
      <c r="BG809" s="5"/>
      <c r="BH809" s="5"/>
      <c r="BI809" s="5"/>
      <c r="BJ809" s="5"/>
      <c r="BK809" s="5"/>
      <c r="BL809" s="5"/>
      <c r="BM809" s="5"/>
      <c r="BN809" s="5"/>
      <c r="BO809" s="5"/>
      <c r="BP809" s="5"/>
      <c r="BQ809" s="5"/>
      <c r="BR809" s="5"/>
      <c r="BS809" s="5"/>
      <c r="BT809" s="5"/>
      <c r="BU809" s="5"/>
      <c r="BV809" s="5"/>
      <c r="BW809" s="5"/>
      <c r="BX809" s="5"/>
      <c r="BY809" s="5"/>
      <c r="BZ809" s="5"/>
      <c r="CA809" s="5"/>
      <c r="CB809" s="5"/>
      <c r="CC809" s="5"/>
      <c r="CD809" s="5"/>
      <c r="CE809" s="5"/>
      <c r="CF809" s="5"/>
      <c r="CG809" s="5"/>
      <c r="CH809" s="5"/>
      <c r="CI809" s="5"/>
    </row>
    <row r="810" ht="14.25" customHeight="1">
      <c r="B810" s="1"/>
      <c r="D810" s="1"/>
      <c r="E810" s="33"/>
      <c r="F810" s="34"/>
      <c r="G810" s="5"/>
      <c r="H810" s="5"/>
      <c r="I810" s="5"/>
      <c r="J810" s="5"/>
      <c r="K810" s="5"/>
      <c r="L810" s="5"/>
      <c r="M810" s="32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  <c r="AE810" s="5"/>
      <c r="AF810" s="5"/>
      <c r="AG810" s="5"/>
      <c r="AH810" s="5"/>
      <c r="AI810" s="5"/>
      <c r="AJ810" s="5"/>
      <c r="AK810" s="5"/>
      <c r="AL810" s="5"/>
      <c r="AM810" s="5"/>
      <c r="AN810" s="5"/>
      <c r="AO810" s="5"/>
      <c r="AP810" s="5"/>
      <c r="AQ810" s="5"/>
      <c r="AR810" s="5"/>
      <c r="AS810" s="5"/>
      <c r="AT810" s="5"/>
      <c r="AU810" s="5"/>
      <c r="AV810" s="5"/>
      <c r="AW810" s="5"/>
      <c r="AX810" s="5"/>
      <c r="AY810" s="5"/>
      <c r="AZ810" s="5"/>
      <c r="BA810" s="5"/>
      <c r="BB810" s="5"/>
      <c r="BC810" s="5"/>
      <c r="BD810" s="5"/>
      <c r="BE810" s="5"/>
      <c r="BF810" s="5"/>
      <c r="BG810" s="5"/>
      <c r="BH810" s="5"/>
      <c r="BI810" s="5"/>
      <c r="BJ810" s="5"/>
      <c r="BK810" s="5"/>
      <c r="BL810" s="5"/>
      <c r="BM810" s="5"/>
      <c r="BN810" s="5"/>
      <c r="BO810" s="5"/>
      <c r="BP810" s="5"/>
      <c r="BQ810" s="5"/>
      <c r="BR810" s="5"/>
      <c r="BS810" s="5"/>
      <c r="BT810" s="5"/>
      <c r="BU810" s="5"/>
      <c r="BV810" s="5"/>
      <c r="BW810" s="5"/>
      <c r="BX810" s="5"/>
      <c r="BY810" s="5"/>
      <c r="BZ810" s="5"/>
      <c r="CA810" s="5"/>
      <c r="CB810" s="5"/>
      <c r="CC810" s="5"/>
      <c r="CD810" s="5"/>
      <c r="CE810" s="5"/>
      <c r="CF810" s="5"/>
      <c r="CG810" s="5"/>
      <c r="CH810" s="5"/>
      <c r="CI810" s="5"/>
    </row>
    <row r="811" ht="14.25" customHeight="1">
      <c r="B811" s="1"/>
      <c r="D811" s="1"/>
      <c r="E811" s="33"/>
      <c r="F811" s="34"/>
      <c r="G811" s="5"/>
      <c r="H811" s="5"/>
      <c r="I811" s="5"/>
      <c r="J811" s="5"/>
      <c r="K811" s="5"/>
      <c r="L811" s="5"/>
      <c r="M811" s="32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  <c r="AG811" s="5"/>
      <c r="AH811" s="5"/>
      <c r="AI811" s="5"/>
      <c r="AJ811" s="5"/>
      <c r="AK811" s="5"/>
      <c r="AL811" s="5"/>
      <c r="AM811" s="5"/>
      <c r="AN811" s="5"/>
      <c r="AO811" s="5"/>
      <c r="AP811" s="5"/>
      <c r="AQ811" s="5"/>
      <c r="AR811" s="5"/>
      <c r="AS811" s="5"/>
      <c r="AT811" s="5"/>
      <c r="AU811" s="5"/>
      <c r="AV811" s="5"/>
      <c r="AW811" s="5"/>
      <c r="AX811" s="5"/>
      <c r="AY811" s="5"/>
      <c r="AZ811" s="5"/>
      <c r="BA811" s="5"/>
      <c r="BB811" s="5"/>
      <c r="BC811" s="5"/>
      <c r="BD811" s="5"/>
      <c r="BE811" s="5"/>
      <c r="BF811" s="5"/>
      <c r="BG811" s="5"/>
      <c r="BH811" s="5"/>
      <c r="BI811" s="5"/>
      <c r="BJ811" s="5"/>
      <c r="BK811" s="5"/>
      <c r="BL811" s="5"/>
      <c r="BM811" s="5"/>
      <c r="BN811" s="5"/>
      <c r="BO811" s="5"/>
      <c r="BP811" s="5"/>
      <c r="BQ811" s="5"/>
      <c r="BR811" s="5"/>
      <c r="BS811" s="5"/>
      <c r="BT811" s="5"/>
      <c r="BU811" s="5"/>
      <c r="BV811" s="5"/>
      <c r="BW811" s="5"/>
      <c r="BX811" s="5"/>
      <c r="BY811" s="5"/>
      <c r="BZ811" s="5"/>
      <c r="CA811" s="5"/>
      <c r="CB811" s="5"/>
      <c r="CC811" s="5"/>
      <c r="CD811" s="5"/>
      <c r="CE811" s="5"/>
      <c r="CF811" s="5"/>
      <c r="CG811" s="5"/>
      <c r="CH811" s="5"/>
      <c r="CI811" s="5"/>
    </row>
    <row r="812" ht="14.25" customHeight="1">
      <c r="B812" s="1"/>
      <c r="D812" s="1"/>
      <c r="E812" s="33"/>
      <c r="F812" s="34"/>
      <c r="G812" s="5"/>
      <c r="H812" s="5"/>
      <c r="I812" s="5"/>
      <c r="J812" s="5"/>
      <c r="K812" s="5"/>
      <c r="L812" s="5"/>
      <c r="M812" s="32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  <c r="AE812" s="5"/>
      <c r="AF812" s="5"/>
      <c r="AG812" s="5"/>
      <c r="AH812" s="5"/>
      <c r="AI812" s="5"/>
      <c r="AJ812" s="5"/>
      <c r="AK812" s="5"/>
      <c r="AL812" s="5"/>
      <c r="AM812" s="5"/>
      <c r="AN812" s="5"/>
      <c r="AO812" s="5"/>
      <c r="AP812" s="5"/>
      <c r="AQ812" s="5"/>
      <c r="AR812" s="5"/>
      <c r="AS812" s="5"/>
      <c r="AT812" s="5"/>
      <c r="AU812" s="5"/>
      <c r="AV812" s="5"/>
      <c r="AW812" s="5"/>
      <c r="AX812" s="5"/>
      <c r="AY812" s="5"/>
      <c r="AZ812" s="5"/>
      <c r="BA812" s="5"/>
      <c r="BB812" s="5"/>
      <c r="BC812" s="5"/>
      <c r="BD812" s="5"/>
      <c r="BE812" s="5"/>
      <c r="BF812" s="5"/>
      <c r="BG812" s="5"/>
      <c r="BH812" s="5"/>
      <c r="BI812" s="5"/>
      <c r="BJ812" s="5"/>
      <c r="BK812" s="5"/>
      <c r="BL812" s="5"/>
      <c r="BM812" s="5"/>
      <c r="BN812" s="5"/>
      <c r="BO812" s="5"/>
      <c r="BP812" s="5"/>
      <c r="BQ812" s="5"/>
      <c r="BR812" s="5"/>
      <c r="BS812" s="5"/>
      <c r="BT812" s="5"/>
      <c r="BU812" s="5"/>
      <c r="BV812" s="5"/>
      <c r="BW812" s="5"/>
      <c r="BX812" s="5"/>
      <c r="BY812" s="5"/>
      <c r="BZ812" s="5"/>
      <c r="CA812" s="5"/>
      <c r="CB812" s="5"/>
      <c r="CC812" s="5"/>
      <c r="CD812" s="5"/>
      <c r="CE812" s="5"/>
      <c r="CF812" s="5"/>
      <c r="CG812" s="5"/>
      <c r="CH812" s="5"/>
      <c r="CI812" s="5"/>
    </row>
    <row r="813" ht="14.25" customHeight="1">
      <c r="B813" s="1"/>
      <c r="D813" s="1"/>
      <c r="E813" s="33"/>
      <c r="F813" s="34"/>
      <c r="G813" s="5"/>
      <c r="H813" s="5"/>
      <c r="I813" s="5"/>
      <c r="J813" s="5"/>
      <c r="K813" s="5"/>
      <c r="L813" s="5"/>
      <c r="M813" s="32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  <c r="AG813" s="5"/>
      <c r="AH813" s="5"/>
      <c r="AI813" s="5"/>
      <c r="AJ813" s="5"/>
      <c r="AK813" s="5"/>
      <c r="AL813" s="5"/>
      <c r="AM813" s="5"/>
      <c r="AN813" s="5"/>
      <c r="AO813" s="5"/>
      <c r="AP813" s="5"/>
      <c r="AQ813" s="5"/>
      <c r="AR813" s="5"/>
      <c r="AS813" s="5"/>
      <c r="AT813" s="5"/>
      <c r="AU813" s="5"/>
      <c r="AV813" s="5"/>
      <c r="AW813" s="5"/>
      <c r="AX813" s="5"/>
      <c r="AY813" s="5"/>
      <c r="AZ813" s="5"/>
      <c r="BA813" s="5"/>
      <c r="BB813" s="5"/>
      <c r="BC813" s="5"/>
      <c r="BD813" s="5"/>
      <c r="BE813" s="5"/>
      <c r="BF813" s="5"/>
      <c r="BG813" s="5"/>
      <c r="BH813" s="5"/>
      <c r="BI813" s="5"/>
      <c r="BJ813" s="5"/>
      <c r="BK813" s="5"/>
      <c r="BL813" s="5"/>
      <c r="BM813" s="5"/>
      <c r="BN813" s="5"/>
      <c r="BO813" s="5"/>
      <c r="BP813" s="5"/>
      <c r="BQ813" s="5"/>
      <c r="BR813" s="5"/>
      <c r="BS813" s="5"/>
      <c r="BT813" s="5"/>
      <c r="BU813" s="5"/>
      <c r="BV813" s="5"/>
      <c r="BW813" s="5"/>
      <c r="BX813" s="5"/>
      <c r="BY813" s="5"/>
      <c r="BZ813" s="5"/>
      <c r="CA813" s="5"/>
      <c r="CB813" s="5"/>
      <c r="CC813" s="5"/>
      <c r="CD813" s="5"/>
      <c r="CE813" s="5"/>
      <c r="CF813" s="5"/>
      <c r="CG813" s="5"/>
      <c r="CH813" s="5"/>
      <c r="CI813" s="5"/>
    </row>
    <row r="814" ht="14.25" customHeight="1">
      <c r="B814" s="1"/>
      <c r="D814" s="1"/>
      <c r="E814" s="33"/>
      <c r="F814" s="34"/>
      <c r="G814" s="5"/>
      <c r="H814" s="5"/>
      <c r="I814" s="5"/>
      <c r="J814" s="5"/>
      <c r="K814" s="5"/>
      <c r="L814" s="5"/>
      <c r="M814" s="32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5"/>
      <c r="AH814" s="5"/>
      <c r="AI814" s="5"/>
      <c r="AJ814" s="5"/>
      <c r="AK814" s="5"/>
      <c r="AL814" s="5"/>
      <c r="AM814" s="5"/>
      <c r="AN814" s="5"/>
      <c r="AO814" s="5"/>
      <c r="AP814" s="5"/>
      <c r="AQ814" s="5"/>
      <c r="AR814" s="5"/>
      <c r="AS814" s="5"/>
      <c r="AT814" s="5"/>
      <c r="AU814" s="5"/>
      <c r="AV814" s="5"/>
      <c r="AW814" s="5"/>
      <c r="AX814" s="5"/>
      <c r="AY814" s="5"/>
      <c r="AZ814" s="5"/>
      <c r="BA814" s="5"/>
      <c r="BB814" s="5"/>
      <c r="BC814" s="5"/>
      <c r="BD814" s="5"/>
      <c r="BE814" s="5"/>
      <c r="BF814" s="5"/>
      <c r="BG814" s="5"/>
      <c r="BH814" s="5"/>
      <c r="BI814" s="5"/>
      <c r="BJ814" s="5"/>
      <c r="BK814" s="5"/>
      <c r="BL814" s="5"/>
      <c r="BM814" s="5"/>
      <c r="BN814" s="5"/>
      <c r="BO814" s="5"/>
      <c r="BP814" s="5"/>
      <c r="BQ814" s="5"/>
      <c r="BR814" s="5"/>
      <c r="BS814" s="5"/>
      <c r="BT814" s="5"/>
      <c r="BU814" s="5"/>
      <c r="BV814" s="5"/>
      <c r="BW814" s="5"/>
      <c r="BX814" s="5"/>
      <c r="BY814" s="5"/>
      <c r="BZ814" s="5"/>
      <c r="CA814" s="5"/>
      <c r="CB814" s="5"/>
      <c r="CC814" s="5"/>
      <c r="CD814" s="5"/>
      <c r="CE814" s="5"/>
      <c r="CF814" s="5"/>
      <c r="CG814" s="5"/>
      <c r="CH814" s="5"/>
      <c r="CI814" s="5"/>
    </row>
    <row r="815" ht="14.25" customHeight="1">
      <c r="B815" s="1"/>
      <c r="D815" s="1"/>
      <c r="E815" s="33"/>
      <c r="F815" s="34"/>
      <c r="G815" s="5"/>
      <c r="H815" s="5"/>
      <c r="I815" s="5"/>
      <c r="J815" s="5"/>
      <c r="K815" s="5"/>
      <c r="L815" s="5"/>
      <c r="M815" s="32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  <c r="AG815" s="5"/>
      <c r="AH815" s="5"/>
      <c r="AI815" s="5"/>
      <c r="AJ815" s="5"/>
      <c r="AK815" s="5"/>
      <c r="AL815" s="5"/>
      <c r="AM815" s="5"/>
      <c r="AN815" s="5"/>
      <c r="AO815" s="5"/>
      <c r="AP815" s="5"/>
      <c r="AQ815" s="5"/>
      <c r="AR815" s="5"/>
      <c r="AS815" s="5"/>
      <c r="AT815" s="5"/>
      <c r="AU815" s="5"/>
      <c r="AV815" s="5"/>
      <c r="AW815" s="5"/>
      <c r="AX815" s="5"/>
      <c r="AY815" s="5"/>
      <c r="AZ815" s="5"/>
      <c r="BA815" s="5"/>
      <c r="BB815" s="5"/>
      <c r="BC815" s="5"/>
      <c r="BD815" s="5"/>
      <c r="BE815" s="5"/>
      <c r="BF815" s="5"/>
      <c r="BG815" s="5"/>
      <c r="BH815" s="5"/>
      <c r="BI815" s="5"/>
      <c r="BJ815" s="5"/>
      <c r="BK815" s="5"/>
      <c r="BL815" s="5"/>
      <c r="BM815" s="5"/>
      <c r="BN815" s="5"/>
      <c r="BO815" s="5"/>
      <c r="BP815" s="5"/>
      <c r="BQ815" s="5"/>
      <c r="BR815" s="5"/>
      <c r="BS815" s="5"/>
      <c r="BT815" s="5"/>
      <c r="BU815" s="5"/>
      <c r="BV815" s="5"/>
      <c r="BW815" s="5"/>
      <c r="BX815" s="5"/>
      <c r="BY815" s="5"/>
      <c r="BZ815" s="5"/>
      <c r="CA815" s="5"/>
      <c r="CB815" s="5"/>
      <c r="CC815" s="5"/>
      <c r="CD815" s="5"/>
      <c r="CE815" s="5"/>
      <c r="CF815" s="5"/>
      <c r="CG815" s="5"/>
      <c r="CH815" s="5"/>
      <c r="CI815" s="5"/>
    </row>
    <row r="816" ht="14.25" customHeight="1">
      <c r="B816" s="1"/>
      <c r="D816" s="1"/>
      <c r="E816" s="33"/>
      <c r="F816" s="34"/>
      <c r="G816" s="5"/>
      <c r="H816" s="5"/>
      <c r="I816" s="5"/>
      <c r="J816" s="5"/>
      <c r="K816" s="5"/>
      <c r="L816" s="5"/>
      <c r="M816" s="32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  <c r="AG816" s="5"/>
      <c r="AH816" s="5"/>
      <c r="AI816" s="5"/>
      <c r="AJ816" s="5"/>
      <c r="AK816" s="5"/>
      <c r="AL816" s="5"/>
      <c r="AM816" s="5"/>
      <c r="AN816" s="5"/>
      <c r="AO816" s="5"/>
      <c r="AP816" s="5"/>
      <c r="AQ816" s="5"/>
      <c r="AR816" s="5"/>
      <c r="AS816" s="5"/>
      <c r="AT816" s="5"/>
      <c r="AU816" s="5"/>
      <c r="AV816" s="5"/>
      <c r="AW816" s="5"/>
      <c r="AX816" s="5"/>
      <c r="AY816" s="5"/>
      <c r="AZ816" s="5"/>
      <c r="BA816" s="5"/>
      <c r="BB816" s="5"/>
      <c r="BC816" s="5"/>
      <c r="BD816" s="5"/>
      <c r="BE816" s="5"/>
      <c r="BF816" s="5"/>
      <c r="BG816" s="5"/>
      <c r="BH816" s="5"/>
      <c r="BI816" s="5"/>
      <c r="BJ816" s="5"/>
      <c r="BK816" s="5"/>
      <c r="BL816" s="5"/>
      <c r="BM816" s="5"/>
      <c r="BN816" s="5"/>
      <c r="BO816" s="5"/>
      <c r="BP816" s="5"/>
      <c r="BQ816" s="5"/>
      <c r="BR816" s="5"/>
      <c r="BS816" s="5"/>
      <c r="BT816" s="5"/>
      <c r="BU816" s="5"/>
      <c r="BV816" s="5"/>
      <c r="BW816" s="5"/>
      <c r="BX816" s="5"/>
      <c r="BY816" s="5"/>
      <c r="BZ816" s="5"/>
      <c r="CA816" s="5"/>
      <c r="CB816" s="5"/>
      <c r="CC816" s="5"/>
      <c r="CD816" s="5"/>
      <c r="CE816" s="5"/>
      <c r="CF816" s="5"/>
      <c r="CG816" s="5"/>
      <c r="CH816" s="5"/>
      <c r="CI816" s="5"/>
    </row>
    <row r="817" ht="14.25" customHeight="1">
      <c r="B817" s="1"/>
      <c r="D817" s="1"/>
      <c r="E817" s="33"/>
      <c r="F817" s="34"/>
      <c r="G817" s="5"/>
      <c r="H817" s="5"/>
      <c r="I817" s="5"/>
      <c r="J817" s="5"/>
      <c r="K817" s="5"/>
      <c r="L817" s="5"/>
      <c r="M817" s="32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  <c r="AG817" s="5"/>
      <c r="AH817" s="5"/>
      <c r="AI817" s="5"/>
      <c r="AJ817" s="5"/>
      <c r="AK817" s="5"/>
      <c r="AL817" s="5"/>
      <c r="AM817" s="5"/>
      <c r="AN817" s="5"/>
      <c r="AO817" s="5"/>
      <c r="AP817" s="5"/>
      <c r="AQ817" s="5"/>
      <c r="AR817" s="5"/>
      <c r="AS817" s="5"/>
      <c r="AT817" s="5"/>
      <c r="AU817" s="5"/>
      <c r="AV817" s="5"/>
      <c r="AW817" s="5"/>
      <c r="AX817" s="5"/>
      <c r="AY817" s="5"/>
      <c r="AZ817" s="5"/>
      <c r="BA817" s="5"/>
      <c r="BB817" s="5"/>
      <c r="BC817" s="5"/>
      <c r="BD817" s="5"/>
      <c r="BE817" s="5"/>
      <c r="BF817" s="5"/>
      <c r="BG817" s="5"/>
      <c r="BH817" s="5"/>
      <c r="BI817" s="5"/>
      <c r="BJ817" s="5"/>
      <c r="BK817" s="5"/>
      <c r="BL817" s="5"/>
      <c r="BM817" s="5"/>
      <c r="BN817" s="5"/>
      <c r="BO817" s="5"/>
      <c r="BP817" s="5"/>
      <c r="BQ817" s="5"/>
      <c r="BR817" s="5"/>
      <c r="BS817" s="5"/>
      <c r="BT817" s="5"/>
      <c r="BU817" s="5"/>
      <c r="BV817" s="5"/>
      <c r="BW817" s="5"/>
      <c r="BX817" s="5"/>
      <c r="BY817" s="5"/>
      <c r="BZ817" s="5"/>
      <c r="CA817" s="5"/>
      <c r="CB817" s="5"/>
      <c r="CC817" s="5"/>
      <c r="CD817" s="5"/>
      <c r="CE817" s="5"/>
      <c r="CF817" s="5"/>
      <c r="CG817" s="5"/>
      <c r="CH817" s="5"/>
      <c r="CI817" s="5"/>
    </row>
    <row r="818" ht="14.25" customHeight="1">
      <c r="B818" s="1"/>
      <c r="D818" s="1"/>
      <c r="E818" s="33"/>
      <c r="F818" s="34"/>
      <c r="G818" s="5"/>
      <c r="H818" s="5"/>
      <c r="I818" s="5"/>
      <c r="J818" s="5"/>
      <c r="K818" s="5"/>
      <c r="L818" s="5"/>
      <c r="M818" s="32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  <c r="AG818" s="5"/>
      <c r="AH818" s="5"/>
      <c r="AI818" s="5"/>
      <c r="AJ818" s="5"/>
      <c r="AK818" s="5"/>
      <c r="AL818" s="5"/>
      <c r="AM818" s="5"/>
      <c r="AN818" s="5"/>
      <c r="AO818" s="5"/>
      <c r="AP818" s="5"/>
      <c r="AQ818" s="5"/>
      <c r="AR818" s="5"/>
      <c r="AS818" s="5"/>
      <c r="AT818" s="5"/>
      <c r="AU818" s="5"/>
      <c r="AV818" s="5"/>
      <c r="AW818" s="5"/>
      <c r="AX818" s="5"/>
      <c r="AY818" s="5"/>
      <c r="AZ818" s="5"/>
      <c r="BA818" s="5"/>
      <c r="BB818" s="5"/>
      <c r="BC818" s="5"/>
      <c r="BD818" s="5"/>
      <c r="BE818" s="5"/>
      <c r="BF818" s="5"/>
      <c r="BG818" s="5"/>
      <c r="BH818" s="5"/>
      <c r="BI818" s="5"/>
      <c r="BJ818" s="5"/>
      <c r="BK818" s="5"/>
      <c r="BL818" s="5"/>
      <c r="BM818" s="5"/>
      <c r="BN818" s="5"/>
      <c r="BO818" s="5"/>
      <c r="BP818" s="5"/>
      <c r="BQ818" s="5"/>
      <c r="BR818" s="5"/>
      <c r="BS818" s="5"/>
      <c r="BT818" s="5"/>
      <c r="BU818" s="5"/>
      <c r="BV818" s="5"/>
      <c r="BW818" s="5"/>
      <c r="BX818" s="5"/>
      <c r="BY818" s="5"/>
      <c r="BZ818" s="5"/>
      <c r="CA818" s="5"/>
      <c r="CB818" s="5"/>
      <c r="CC818" s="5"/>
      <c r="CD818" s="5"/>
      <c r="CE818" s="5"/>
      <c r="CF818" s="5"/>
      <c r="CG818" s="5"/>
      <c r="CH818" s="5"/>
      <c r="CI818" s="5"/>
    </row>
    <row r="819" ht="14.25" customHeight="1">
      <c r="B819" s="1"/>
      <c r="D819" s="1"/>
      <c r="E819" s="33"/>
      <c r="F819" s="34"/>
      <c r="G819" s="5"/>
      <c r="H819" s="5"/>
      <c r="I819" s="5"/>
      <c r="J819" s="5"/>
      <c r="K819" s="5"/>
      <c r="L819" s="5"/>
      <c r="M819" s="32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  <c r="AE819" s="5"/>
      <c r="AF819" s="5"/>
      <c r="AG819" s="5"/>
      <c r="AH819" s="5"/>
      <c r="AI819" s="5"/>
      <c r="AJ819" s="5"/>
      <c r="AK819" s="5"/>
      <c r="AL819" s="5"/>
      <c r="AM819" s="5"/>
      <c r="AN819" s="5"/>
      <c r="AO819" s="5"/>
      <c r="AP819" s="5"/>
      <c r="AQ819" s="5"/>
      <c r="AR819" s="5"/>
      <c r="AS819" s="5"/>
      <c r="AT819" s="5"/>
      <c r="AU819" s="5"/>
      <c r="AV819" s="5"/>
      <c r="AW819" s="5"/>
      <c r="AX819" s="5"/>
      <c r="AY819" s="5"/>
      <c r="AZ819" s="5"/>
      <c r="BA819" s="5"/>
      <c r="BB819" s="5"/>
      <c r="BC819" s="5"/>
      <c r="BD819" s="5"/>
      <c r="BE819" s="5"/>
      <c r="BF819" s="5"/>
      <c r="BG819" s="5"/>
      <c r="BH819" s="5"/>
      <c r="BI819" s="5"/>
      <c r="BJ819" s="5"/>
      <c r="BK819" s="5"/>
      <c r="BL819" s="5"/>
      <c r="BM819" s="5"/>
      <c r="BN819" s="5"/>
      <c r="BO819" s="5"/>
      <c r="BP819" s="5"/>
      <c r="BQ819" s="5"/>
      <c r="BR819" s="5"/>
      <c r="BS819" s="5"/>
      <c r="BT819" s="5"/>
      <c r="BU819" s="5"/>
      <c r="BV819" s="5"/>
      <c r="BW819" s="5"/>
      <c r="BX819" s="5"/>
      <c r="BY819" s="5"/>
      <c r="BZ819" s="5"/>
      <c r="CA819" s="5"/>
      <c r="CB819" s="5"/>
      <c r="CC819" s="5"/>
      <c r="CD819" s="5"/>
      <c r="CE819" s="5"/>
      <c r="CF819" s="5"/>
      <c r="CG819" s="5"/>
      <c r="CH819" s="5"/>
      <c r="CI819" s="5"/>
    </row>
    <row r="820" ht="14.25" customHeight="1">
      <c r="B820" s="1"/>
      <c r="D820" s="1"/>
      <c r="E820" s="33"/>
      <c r="F820" s="34"/>
      <c r="G820" s="5"/>
      <c r="H820" s="5"/>
      <c r="I820" s="5"/>
      <c r="J820" s="5"/>
      <c r="K820" s="5"/>
      <c r="L820" s="5"/>
      <c r="M820" s="32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  <c r="AG820" s="5"/>
      <c r="AH820" s="5"/>
      <c r="AI820" s="5"/>
      <c r="AJ820" s="5"/>
      <c r="AK820" s="5"/>
      <c r="AL820" s="5"/>
      <c r="AM820" s="5"/>
      <c r="AN820" s="5"/>
      <c r="AO820" s="5"/>
      <c r="AP820" s="5"/>
      <c r="AQ820" s="5"/>
      <c r="AR820" s="5"/>
      <c r="AS820" s="5"/>
      <c r="AT820" s="5"/>
      <c r="AU820" s="5"/>
      <c r="AV820" s="5"/>
      <c r="AW820" s="5"/>
      <c r="AX820" s="5"/>
      <c r="AY820" s="5"/>
      <c r="AZ820" s="5"/>
      <c r="BA820" s="5"/>
      <c r="BB820" s="5"/>
      <c r="BC820" s="5"/>
      <c r="BD820" s="5"/>
      <c r="BE820" s="5"/>
      <c r="BF820" s="5"/>
      <c r="BG820" s="5"/>
      <c r="BH820" s="5"/>
      <c r="BI820" s="5"/>
      <c r="BJ820" s="5"/>
      <c r="BK820" s="5"/>
      <c r="BL820" s="5"/>
      <c r="BM820" s="5"/>
      <c r="BN820" s="5"/>
      <c r="BO820" s="5"/>
      <c r="BP820" s="5"/>
      <c r="BQ820" s="5"/>
      <c r="BR820" s="5"/>
      <c r="BS820" s="5"/>
      <c r="BT820" s="5"/>
      <c r="BU820" s="5"/>
      <c r="BV820" s="5"/>
      <c r="BW820" s="5"/>
      <c r="BX820" s="5"/>
      <c r="BY820" s="5"/>
      <c r="BZ820" s="5"/>
      <c r="CA820" s="5"/>
      <c r="CB820" s="5"/>
      <c r="CC820" s="5"/>
      <c r="CD820" s="5"/>
      <c r="CE820" s="5"/>
      <c r="CF820" s="5"/>
      <c r="CG820" s="5"/>
      <c r="CH820" s="5"/>
      <c r="CI820" s="5"/>
    </row>
    <row r="821" ht="14.25" customHeight="1">
      <c r="B821" s="1"/>
      <c r="D821" s="1"/>
      <c r="E821" s="33"/>
      <c r="F821" s="34"/>
      <c r="G821" s="5"/>
      <c r="H821" s="5"/>
      <c r="I821" s="5"/>
      <c r="J821" s="5"/>
      <c r="K821" s="5"/>
      <c r="L821" s="5"/>
      <c r="M821" s="32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  <c r="AG821" s="5"/>
      <c r="AH821" s="5"/>
      <c r="AI821" s="5"/>
      <c r="AJ821" s="5"/>
      <c r="AK821" s="5"/>
      <c r="AL821" s="5"/>
      <c r="AM821" s="5"/>
      <c r="AN821" s="5"/>
      <c r="AO821" s="5"/>
      <c r="AP821" s="5"/>
      <c r="AQ821" s="5"/>
      <c r="AR821" s="5"/>
      <c r="AS821" s="5"/>
      <c r="AT821" s="5"/>
      <c r="AU821" s="5"/>
      <c r="AV821" s="5"/>
      <c r="AW821" s="5"/>
      <c r="AX821" s="5"/>
      <c r="AY821" s="5"/>
      <c r="AZ821" s="5"/>
      <c r="BA821" s="5"/>
      <c r="BB821" s="5"/>
      <c r="BC821" s="5"/>
      <c r="BD821" s="5"/>
      <c r="BE821" s="5"/>
      <c r="BF821" s="5"/>
      <c r="BG821" s="5"/>
      <c r="BH821" s="5"/>
      <c r="BI821" s="5"/>
      <c r="BJ821" s="5"/>
      <c r="BK821" s="5"/>
      <c r="BL821" s="5"/>
      <c r="BM821" s="5"/>
      <c r="BN821" s="5"/>
      <c r="BO821" s="5"/>
      <c r="BP821" s="5"/>
      <c r="BQ821" s="5"/>
      <c r="BR821" s="5"/>
      <c r="BS821" s="5"/>
      <c r="BT821" s="5"/>
      <c r="BU821" s="5"/>
      <c r="BV821" s="5"/>
      <c r="BW821" s="5"/>
      <c r="BX821" s="5"/>
      <c r="BY821" s="5"/>
      <c r="BZ821" s="5"/>
      <c r="CA821" s="5"/>
      <c r="CB821" s="5"/>
      <c r="CC821" s="5"/>
      <c r="CD821" s="5"/>
      <c r="CE821" s="5"/>
      <c r="CF821" s="5"/>
      <c r="CG821" s="5"/>
      <c r="CH821" s="5"/>
      <c r="CI821" s="5"/>
    </row>
    <row r="822" ht="14.25" customHeight="1">
      <c r="B822" s="1"/>
      <c r="D822" s="1"/>
      <c r="E822" s="33"/>
      <c r="F822" s="34"/>
      <c r="G822" s="5"/>
      <c r="H822" s="5"/>
      <c r="I822" s="5"/>
      <c r="J822" s="5"/>
      <c r="K822" s="5"/>
      <c r="L822" s="5"/>
      <c r="M822" s="32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  <c r="AE822" s="5"/>
      <c r="AF822" s="5"/>
      <c r="AG822" s="5"/>
      <c r="AH822" s="5"/>
      <c r="AI822" s="5"/>
      <c r="AJ822" s="5"/>
      <c r="AK822" s="5"/>
      <c r="AL822" s="5"/>
      <c r="AM822" s="5"/>
      <c r="AN822" s="5"/>
      <c r="AO822" s="5"/>
      <c r="AP822" s="5"/>
      <c r="AQ822" s="5"/>
      <c r="AR822" s="5"/>
      <c r="AS822" s="5"/>
      <c r="AT822" s="5"/>
      <c r="AU822" s="5"/>
      <c r="AV822" s="5"/>
      <c r="AW822" s="5"/>
      <c r="AX822" s="5"/>
      <c r="AY822" s="5"/>
      <c r="AZ822" s="5"/>
      <c r="BA822" s="5"/>
      <c r="BB822" s="5"/>
      <c r="BC822" s="5"/>
      <c r="BD822" s="5"/>
      <c r="BE822" s="5"/>
      <c r="BF822" s="5"/>
      <c r="BG822" s="5"/>
      <c r="BH822" s="5"/>
      <c r="BI822" s="5"/>
      <c r="BJ822" s="5"/>
      <c r="BK822" s="5"/>
      <c r="BL822" s="5"/>
      <c r="BM822" s="5"/>
      <c r="BN822" s="5"/>
      <c r="BO822" s="5"/>
      <c r="BP822" s="5"/>
      <c r="BQ822" s="5"/>
      <c r="BR822" s="5"/>
      <c r="BS822" s="5"/>
      <c r="BT822" s="5"/>
      <c r="BU822" s="5"/>
      <c r="BV822" s="5"/>
      <c r="BW822" s="5"/>
      <c r="BX822" s="5"/>
      <c r="BY822" s="5"/>
      <c r="BZ822" s="5"/>
      <c r="CA822" s="5"/>
      <c r="CB822" s="5"/>
      <c r="CC822" s="5"/>
      <c r="CD822" s="5"/>
      <c r="CE822" s="5"/>
      <c r="CF822" s="5"/>
      <c r="CG822" s="5"/>
      <c r="CH822" s="5"/>
      <c r="CI822" s="5"/>
    </row>
    <row r="823" ht="14.25" customHeight="1">
      <c r="B823" s="1"/>
      <c r="D823" s="1"/>
      <c r="E823" s="33"/>
      <c r="F823" s="34"/>
      <c r="G823" s="5"/>
      <c r="H823" s="5"/>
      <c r="I823" s="5"/>
      <c r="J823" s="5"/>
      <c r="K823" s="5"/>
      <c r="L823" s="5"/>
      <c r="M823" s="32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  <c r="AG823" s="5"/>
      <c r="AH823" s="5"/>
      <c r="AI823" s="5"/>
      <c r="AJ823" s="5"/>
      <c r="AK823" s="5"/>
      <c r="AL823" s="5"/>
      <c r="AM823" s="5"/>
      <c r="AN823" s="5"/>
      <c r="AO823" s="5"/>
      <c r="AP823" s="5"/>
      <c r="AQ823" s="5"/>
      <c r="AR823" s="5"/>
      <c r="AS823" s="5"/>
      <c r="AT823" s="5"/>
      <c r="AU823" s="5"/>
      <c r="AV823" s="5"/>
      <c r="AW823" s="5"/>
      <c r="AX823" s="5"/>
      <c r="AY823" s="5"/>
      <c r="AZ823" s="5"/>
      <c r="BA823" s="5"/>
      <c r="BB823" s="5"/>
      <c r="BC823" s="5"/>
      <c r="BD823" s="5"/>
      <c r="BE823" s="5"/>
      <c r="BF823" s="5"/>
      <c r="BG823" s="5"/>
      <c r="BH823" s="5"/>
      <c r="BI823" s="5"/>
      <c r="BJ823" s="5"/>
      <c r="BK823" s="5"/>
      <c r="BL823" s="5"/>
      <c r="BM823" s="5"/>
      <c r="BN823" s="5"/>
      <c r="BO823" s="5"/>
      <c r="BP823" s="5"/>
      <c r="BQ823" s="5"/>
      <c r="BR823" s="5"/>
      <c r="BS823" s="5"/>
      <c r="BT823" s="5"/>
      <c r="BU823" s="5"/>
      <c r="BV823" s="5"/>
      <c r="BW823" s="5"/>
      <c r="BX823" s="5"/>
      <c r="BY823" s="5"/>
      <c r="BZ823" s="5"/>
      <c r="CA823" s="5"/>
      <c r="CB823" s="5"/>
      <c r="CC823" s="5"/>
      <c r="CD823" s="5"/>
      <c r="CE823" s="5"/>
      <c r="CF823" s="5"/>
      <c r="CG823" s="5"/>
      <c r="CH823" s="5"/>
      <c r="CI823" s="5"/>
    </row>
    <row r="824" ht="14.25" customHeight="1">
      <c r="B824" s="1"/>
      <c r="D824" s="1"/>
      <c r="E824" s="33"/>
      <c r="F824" s="34"/>
      <c r="G824" s="5"/>
      <c r="H824" s="5"/>
      <c r="I824" s="5"/>
      <c r="J824" s="5"/>
      <c r="K824" s="5"/>
      <c r="L824" s="5"/>
      <c r="M824" s="32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  <c r="AG824" s="5"/>
      <c r="AH824" s="5"/>
      <c r="AI824" s="5"/>
      <c r="AJ824" s="5"/>
      <c r="AK824" s="5"/>
      <c r="AL824" s="5"/>
      <c r="AM824" s="5"/>
      <c r="AN824" s="5"/>
      <c r="AO824" s="5"/>
      <c r="AP824" s="5"/>
      <c r="AQ824" s="5"/>
      <c r="AR824" s="5"/>
      <c r="AS824" s="5"/>
      <c r="AT824" s="5"/>
      <c r="AU824" s="5"/>
      <c r="AV824" s="5"/>
      <c r="AW824" s="5"/>
      <c r="AX824" s="5"/>
      <c r="AY824" s="5"/>
      <c r="AZ824" s="5"/>
      <c r="BA824" s="5"/>
      <c r="BB824" s="5"/>
      <c r="BC824" s="5"/>
      <c r="BD824" s="5"/>
      <c r="BE824" s="5"/>
      <c r="BF824" s="5"/>
      <c r="BG824" s="5"/>
      <c r="BH824" s="5"/>
      <c r="BI824" s="5"/>
      <c r="BJ824" s="5"/>
      <c r="BK824" s="5"/>
      <c r="BL824" s="5"/>
      <c r="BM824" s="5"/>
      <c r="BN824" s="5"/>
      <c r="BO824" s="5"/>
      <c r="BP824" s="5"/>
      <c r="BQ824" s="5"/>
      <c r="BR824" s="5"/>
      <c r="BS824" s="5"/>
      <c r="BT824" s="5"/>
      <c r="BU824" s="5"/>
      <c r="BV824" s="5"/>
      <c r="BW824" s="5"/>
      <c r="BX824" s="5"/>
      <c r="BY824" s="5"/>
      <c r="BZ824" s="5"/>
      <c r="CA824" s="5"/>
      <c r="CB824" s="5"/>
      <c r="CC824" s="5"/>
      <c r="CD824" s="5"/>
      <c r="CE824" s="5"/>
      <c r="CF824" s="5"/>
      <c r="CG824" s="5"/>
      <c r="CH824" s="5"/>
      <c r="CI824" s="5"/>
    </row>
    <row r="825" ht="14.25" customHeight="1">
      <c r="B825" s="1"/>
      <c r="D825" s="1"/>
      <c r="E825" s="33"/>
      <c r="F825" s="34"/>
      <c r="G825" s="5"/>
      <c r="H825" s="5"/>
      <c r="I825" s="5"/>
      <c r="J825" s="5"/>
      <c r="K825" s="5"/>
      <c r="L825" s="5"/>
      <c r="M825" s="32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  <c r="AE825" s="5"/>
      <c r="AF825" s="5"/>
      <c r="AG825" s="5"/>
      <c r="AH825" s="5"/>
      <c r="AI825" s="5"/>
      <c r="AJ825" s="5"/>
      <c r="AK825" s="5"/>
      <c r="AL825" s="5"/>
      <c r="AM825" s="5"/>
      <c r="AN825" s="5"/>
      <c r="AO825" s="5"/>
      <c r="AP825" s="5"/>
      <c r="AQ825" s="5"/>
      <c r="AR825" s="5"/>
      <c r="AS825" s="5"/>
      <c r="AT825" s="5"/>
      <c r="AU825" s="5"/>
      <c r="AV825" s="5"/>
      <c r="AW825" s="5"/>
      <c r="AX825" s="5"/>
      <c r="AY825" s="5"/>
      <c r="AZ825" s="5"/>
      <c r="BA825" s="5"/>
      <c r="BB825" s="5"/>
      <c r="BC825" s="5"/>
      <c r="BD825" s="5"/>
      <c r="BE825" s="5"/>
      <c r="BF825" s="5"/>
      <c r="BG825" s="5"/>
      <c r="BH825" s="5"/>
      <c r="BI825" s="5"/>
      <c r="BJ825" s="5"/>
      <c r="BK825" s="5"/>
      <c r="BL825" s="5"/>
      <c r="BM825" s="5"/>
      <c r="BN825" s="5"/>
      <c r="BO825" s="5"/>
      <c r="BP825" s="5"/>
      <c r="BQ825" s="5"/>
      <c r="BR825" s="5"/>
      <c r="BS825" s="5"/>
      <c r="BT825" s="5"/>
      <c r="BU825" s="5"/>
      <c r="BV825" s="5"/>
      <c r="BW825" s="5"/>
      <c r="BX825" s="5"/>
      <c r="BY825" s="5"/>
      <c r="BZ825" s="5"/>
      <c r="CA825" s="5"/>
      <c r="CB825" s="5"/>
      <c r="CC825" s="5"/>
      <c r="CD825" s="5"/>
      <c r="CE825" s="5"/>
      <c r="CF825" s="5"/>
      <c r="CG825" s="5"/>
      <c r="CH825" s="5"/>
      <c r="CI825" s="5"/>
    </row>
    <row r="826" ht="14.25" customHeight="1">
      <c r="B826" s="1"/>
      <c r="D826" s="1"/>
      <c r="E826" s="33"/>
      <c r="F826" s="34"/>
      <c r="G826" s="5"/>
      <c r="H826" s="5"/>
      <c r="I826" s="5"/>
      <c r="J826" s="5"/>
      <c r="K826" s="5"/>
      <c r="L826" s="5"/>
      <c r="M826" s="32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  <c r="AG826" s="5"/>
      <c r="AH826" s="5"/>
      <c r="AI826" s="5"/>
      <c r="AJ826" s="5"/>
      <c r="AK826" s="5"/>
      <c r="AL826" s="5"/>
      <c r="AM826" s="5"/>
      <c r="AN826" s="5"/>
      <c r="AO826" s="5"/>
      <c r="AP826" s="5"/>
      <c r="AQ826" s="5"/>
      <c r="AR826" s="5"/>
      <c r="AS826" s="5"/>
      <c r="AT826" s="5"/>
      <c r="AU826" s="5"/>
      <c r="AV826" s="5"/>
      <c r="AW826" s="5"/>
      <c r="AX826" s="5"/>
      <c r="AY826" s="5"/>
      <c r="AZ826" s="5"/>
      <c r="BA826" s="5"/>
      <c r="BB826" s="5"/>
      <c r="BC826" s="5"/>
      <c r="BD826" s="5"/>
      <c r="BE826" s="5"/>
      <c r="BF826" s="5"/>
      <c r="BG826" s="5"/>
      <c r="BH826" s="5"/>
      <c r="BI826" s="5"/>
      <c r="BJ826" s="5"/>
      <c r="BK826" s="5"/>
      <c r="BL826" s="5"/>
      <c r="BM826" s="5"/>
      <c r="BN826" s="5"/>
      <c r="BO826" s="5"/>
      <c r="BP826" s="5"/>
      <c r="BQ826" s="5"/>
      <c r="BR826" s="5"/>
      <c r="BS826" s="5"/>
      <c r="BT826" s="5"/>
      <c r="BU826" s="5"/>
      <c r="BV826" s="5"/>
      <c r="BW826" s="5"/>
      <c r="BX826" s="5"/>
      <c r="BY826" s="5"/>
      <c r="BZ826" s="5"/>
      <c r="CA826" s="5"/>
      <c r="CB826" s="5"/>
      <c r="CC826" s="5"/>
      <c r="CD826" s="5"/>
      <c r="CE826" s="5"/>
      <c r="CF826" s="5"/>
      <c r="CG826" s="5"/>
      <c r="CH826" s="5"/>
      <c r="CI826" s="5"/>
    </row>
    <row r="827" ht="14.25" customHeight="1">
      <c r="B827" s="1"/>
      <c r="D827" s="1"/>
      <c r="E827" s="33"/>
      <c r="F827" s="34"/>
      <c r="G827" s="5"/>
      <c r="H827" s="5"/>
      <c r="I827" s="5"/>
      <c r="J827" s="5"/>
      <c r="K827" s="5"/>
      <c r="L827" s="5"/>
      <c r="M827" s="32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  <c r="AE827" s="5"/>
      <c r="AF827" s="5"/>
      <c r="AG827" s="5"/>
      <c r="AH827" s="5"/>
      <c r="AI827" s="5"/>
      <c r="AJ827" s="5"/>
      <c r="AK827" s="5"/>
      <c r="AL827" s="5"/>
      <c r="AM827" s="5"/>
      <c r="AN827" s="5"/>
      <c r="AO827" s="5"/>
      <c r="AP827" s="5"/>
      <c r="AQ827" s="5"/>
      <c r="AR827" s="5"/>
      <c r="AS827" s="5"/>
      <c r="AT827" s="5"/>
      <c r="AU827" s="5"/>
      <c r="AV827" s="5"/>
      <c r="AW827" s="5"/>
      <c r="AX827" s="5"/>
      <c r="AY827" s="5"/>
      <c r="AZ827" s="5"/>
      <c r="BA827" s="5"/>
      <c r="BB827" s="5"/>
      <c r="BC827" s="5"/>
      <c r="BD827" s="5"/>
      <c r="BE827" s="5"/>
      <c r="BF827" s="5"/>
      <c r="BG827" s="5"/>
      <c r="BH827" s="5"/>
      <c r="BI827" s="5"/>
      <c r="BJ827" s="5"/>
      <c r="BK827" s="5"/>
      <c r="BL827" s="5"/>
      <c r="BM827" s="5"/>
      <c r="BN827" s="5"/>
      <c r="BO827" s="5"/>
      <c r="BP827" s="5"/>
      <c r="BQ827" s="5"/>
      <c r="BR827" s="5"/>
      <c r="BS827" s="5"/>
      <c r="BT827" s="5"/>
      <c r="BU827" s="5"/>
      <c r="BV827" s="5"/>
      <c r="BW827" s="5"/>
      <c r="BX827" s="5"/>
      <c r="BY827" s="5"/>
      <c r="BZ827" s="5"/>
      <c r="CA827" s="5"/>
      <c r="CB827" s="5"/>
      <c r="CC827" s="5"/>
      <c r="CD827" s="5"/>
      <c r="CE827" s="5"/>
      <c r="CF827" s="5"/>
      <c r="CG827" s="5"/>
      <c r="CH827" s="5"/>
      <c r="CI827" s="5"/>
    </row>
    <row r="828" ht="14.25" customHeight="1">
      <c r="B828" s="1"/>
      <c r="D828" s="1"/>
      <c r="E828" s="33"/>
      <c r="F828" s="34"/>
      <c r="G828" s="5"/>
      <c r="H828" s="5"/>
      <c r="I828" s="5"/>
      <c r="J828" s="5"/>
      <c r="K828" s="5"/>
      <c r="L828" s="5"/>
      <c r="M828" s="32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  <c r="AG828" s="5"/>
      <c r="AH828" s="5"/>
      <c r="AI828" s="5"/>
      <c r="AJ828" s="5"/>
      <c r="AK828" s="5"/>
      <c r="AL828" s="5"/>
      <c r="AM828" s="5"/>
      <c r="AN828" s="5"/>
      <c r="AO828" s="5"/>
      <c r="AP828" s="5"/>
      <c r="AQ828" s="5"/>
      <c r="AR828" s="5"/>
      <c r="AS828" s="5"/>
      <c r="AT828" s="5"/>
      <c r="AU828" s="5"/>
      <c r="AV828" s="5"/>
      <c r="AW828" s="5"/>
      <c r="AX828" s="5"/>
      <c r="AY828" s="5"/>
      <c r="AZ828" s="5"/>
      <c r="BA828" s="5"/>
      <c r="BB828" s="5"/>
      <c r="BC828" s="5"/>
      <c r="BD828" s="5"/>
      <c r="BE828" s="5"/>
      <c r="BF828" s="5"/>
      <c r="BG828" s="5"/>
      <c r="BH828" s="5"/>
      <c r="BI828" s="5"/>
      <c r="BJ828" s="5"/>
      <c r="BK828" s="5"/>
      <c r="BL828" s="5"/>
      <c r="BM828" s="5"/>
      <c r="BN828" s="5"/>
      <c r="BO828" s="5"/>
      <c r="BP828" s="5"/>
      <c r="BQ828" s="5"/>
      <c r="BR828" s="5"/>
      <c r="BS828" s="5"/>
      <c r="BT828" s="5"/>
      <c r="BU828" s="5"/>
      <c r="BV828" s="5"/>
      <c r="BW828" s="5"/>
      <c r="BX828" s="5"/>
      <c r="BY828" s="5"/>
      <c r="BZ828" s="5"/>
      <c r="CA828" s="5"/>
      <c r="CB828" s="5"/>
      <c r="CC828" s="5"/>
      <c r="CD828" s="5"/>
      <c r="CE828" s="5"/>
      <c r="CF828" s="5"/>
      <c r="CG828" s="5"/>
      <c r="CH828" s="5"/>
      <c r="CI828" s="5"/>
    </row>
    <row r="829" ht="14.25" customHeight="1">
      <c r="B829" s="1"/>
      <c r="D829" s="1"/>
      <c r="E829" s="33"/>
      <c r="F829" s="34"/>
      <c r="G829" s="5"/>
      <c r="H829" s="5"/>
      <c r="I829" s="5"/>
      <c r="J829" s="5"/>
      <c r="K829" s="5"/>
      <c r="L829" s="5"/>
      <c r="M829" s="32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  <c r="AG829" s="5"/>
      <c r="AH829" s="5"/>
      <c r="AI829" s="5"/>
      <c r="AJ829" s="5"/>
      <c r="AK829" s="5"/>
      <c r="AL829" s="5"/>
      <c r="AM829" s="5"/>
      <c r="AN829" s="5"/>
      <c r="AO829" s="5"/>
      <c r="AP829" s="5"/>
      <c r="AQ829" s="5"/>
      <c r="AR829" s="5"/>
      <c r="AS829" s="5"/>
      <c r="AT829" s="5"/>
      <c r="AU829" s="5"/>
      <c r="AV829" s="5"/>
      <c r="AW829" s="5"/>
      <c r="AX829" s="5"/>
      <c r="AY829" s="5"/>
      <c r="AZ829" s="5"/>
      <c r="BA829" s="5"/>
      <c r="BB829" s="5"/>
      <c r="BC829" s="5"/>
      <c r="BD829" s="5"/>
      <c r="BE829" s="5"/>
      <c r="BF829" s="5"/>
      <c r="BG829" s="5"/>
      <c r="BH829" s="5"/>
      <c r="BI829" s="5"/>
      <c r="BJ829" s="5"/>
      <c r="BK829" s="5"/>
      <c r="BL829" s="5"/>
      <c r="BM829" s="5"/>
      <c r="BN829" s="5"/>
      <c r="BO829" s="5"/>
      <c r="BP829" s="5"/>
      <c r="BQ829" s="5"/>
      <c r="BR829" s="5"/>
      <c r="BS829" s="5"/>
      <c r="BT829" s="5"/>
      <c r="BU829" s="5"/>
      <c r="BV829" s="5"/>
      <c r="BW829" s="5"/>
      <c r="BX829" s="5"/>
      <c r="BY829" s="5"/>
      <c r="BZ829" s="5"/>
      <c r="CA829" s="5"/>
      <c r="CB829" s="5"/>
      <c r="CC829" s="5"/>
      <c r="CD829" s="5"/>
      <c r="CE829" s="5"/>
      <c r="CF829" s="5"/>
      <c r="CG829" s="5"/>
      <c r="CH829" s="5"/>
      <c r="CI829" s="5"/>
    </row>
    <row r="830" ht="14.25" customHeight="1">
      <c r="B830" s="1"/>
      <c r="D830" s="1"/>
      <c r="E830" s="33"/>
      <c r="F830" s="34"/>
      <c r="G830" s="5"/>
      <c r="H830" s="5"/>
      <c r="I830" s="5"/>
      <c r="J830" s="5"/>
      <c r="K830" s="5"/>
      <c r="L830" s="5"/>
      <c r="M830" s="32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  <c r="AE830" s="5"/>
      <c r="AF830" s="5"/>
      <c r="AG830" s="5"/>
      <c r="AH830" s="5"/>
      <c r="AI830" s="5"/>
      <c r="AJ830" s="5"/>
      <c r="AK830" s="5"/>
      <c r="AL830" s="5"/>
      <c r="AM830" s="5"/>
      <c r="AN830" s="5"/>
      <c r="AO830" s="5"/>
      <c r="AP830" s="5"/>
      <c r="AQ830" s="5"/>
      <c r="AR830" s="5"/>
      <c r="AS830" s="5"/>
      <c r="AT830" s="5"/>
      <c r="AU830" s="5"/>
      <c r="AV830" s="5"/>
      <c r="AW830" s="5"/>
      <c r="AX830" s="5"/>
      <c r="AY830" s="5"/>
      <c r="AZ830" s="5"/>
      <c r="BA830" s="5"/>
      <c r="BB830" s="5"/>
      <c r="BC830" s="5"/>
      <c r="BD830" s="5"/>
      <c r="BE830" s="5"/>
      <c r="BF830" s="5"/>
      <c r="BG830" s="5"/>
      <c r="BH830" s="5"/>
      <c r="BI830" s="5"/>
      <c r="BJ830" s="5"/>
      <c r="BK830" s="5"/>
      <c r="BL830" s="5"/>
      <c r="BM830" s="5"/>
      <c r="BN830" s="5"/>
      <c r="BO830" s="5"/>
      <c r="BP830" s="5"/>
      <c r="BQ830" s="5"/>
      <c r="BR830" s="5"/>
      <c r="BS830" s="5"/>
      <c r="BT830" s="5"/>
      <c r="BU830" s="5"/>
      <c r="BV830" s="5"/>
      <c r="BW830" s="5"/>
      <c r="BX830" s="5"/>
      <c r="BY830" s="5"/>
      <c r="BZ830" s="5"/>
      <c r="CA830" s="5"/>
      <c r="CB830" s="5"/>
      <c r="CC830" s="5"/>
      <c r="CD830" s="5"/>
      <c r="CE830" s="5"/>
      <c r="CF830" s="5"/>
      <c r="CG830" s="5"/>
      <c r="CH830" s="5"/>
      <c r="CI830" s="5"/>
    </row>
    <row r="831" ht="14.25" customHeight="1">
      <c r="B831" s="1"/>
      <c r="D831" s="1"/>
      <c r="E831" s="33"/>
      <c r="F831" s="34"/>
      <c r="G831" s="5"/>
      <c r="H831" s="5"/>
      <c r="I831" s="5"/>
      <c r="J831" s="5"/>
      <c r="K831" s="5"/>
      <c r="L831" s="5"/>
      <c r="M831" s="32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  <c r="AE831" s="5"/>
      <c r="AF831" s="5"/>
      <c r="AG831" s="5"/>
      <c r="AH831" s="5"/>
      <c r="AI831" s="5"/>
      <c r="AJ831" s="5"/>
      <c r="AK831" s="5"/>
      <c r="AL831" s="5"/>
      <c r="AM831" s="5"/>
      <c r="AN831" s="5"/>
      <c r="AO831" s="5"/>
      <c r="AP831" s="5"/>
      <c r="AQ831" s="5"/>
      <c r="AR831" s="5"/>
      <c r="AS831" s="5"/>
      <c r="AT831" s="5"/>
      <c r="AU831" s="5"/>
      <c r="AV831" s="5"/>
      <c r="AW831" s="5"/>
      <c r="AX831" s="5"/>
      <c r="AY831" s="5"/>
      <c r="AZ831" s="5"/>
      <c r="BA831" s="5"/>
      <c r="BB831" s="5"/>
      <c r="BC831" s="5"/>
      <c r="BD831" s="5"/>
      <c r="BE831" s="5"/>
      <c r="BF831" s="5"/>
      <c r="BG831" s="5"/>
      <c r="BH831" s="5"/>
      <c r="BI831" s="5"/>
      <c r="BJ831" s="5"/>
      <c r="BK831" s="5"/>
      <c r="BL831" s="5"/>
      <c r="BM831" s="5"/>
      <c r="BN831" s="5"/>
      <c r="BO831" s="5"/>
      <c r="BP831" s="5"/>
      <c r="BQ831" s="5"/>
      <c r="BR831" s="5"/>
      <c r="BS831" s="5"/>
      <c r="BT831" s="5"/>
      <c r="BU831" s="5"/>
      <c r="BV831" s="5"/>
      <c r="BW831" s="5"/>
      <c r="BX831" s="5"/>
      <c r="BY831" s="5"/>
      <c r="BZ831" s="5"/>
      <c r="CA831" s="5"/>
      <c r="CB831" s="5"/>
      <c r="CC831" s="5"/>
      <c r="CD831" s="5"/>
      <c r="CE831" s="5"/>
      <c r="CF831" s="5"/>
      <c r="CG831" s="5"/>
      <c r="CH831" s="5"/>
      <c r="CI831" s="5"/>
    </row>
    <row r="832" ht="14.25" customHeight="1">
      <c r="B832" s="1"/>
      <c r="D832" s="1"/>
      <c r="E832" s="33"/>
      <c r="F832" s="34"/>
      <c r="G832" s="5"/>
      <c r="H832" s="5"/>
      <c r="I832" s="5"/>
      <c r="J832" s="5"/>
      <c r="K832" s="5"/>
      <c r="L832" s="5"/>
      <c r="M832" s="32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  <c r="AG832" s="5"/>
      <c r="AH832" s="5"/>
      <c r="AI832" s="5"/>
      <c r="AJ832" s="5"/>
      <c r="AK832" s="5"/>
      <c r="AL832" s="5"/>
      <c r="AM832" s="5"/>
      <c r="AN832" s="5"/>
      <c r="AO832" s="5"/>
      <c r="AP832" s="5"/>
      <c r="AQ832" s="5"/>
      <c r="AR832" s="5"/>
      <c r="AS832" s="5"/>
      <c r="AT832" s="5"/>
      <c r="AU832" s="5"/>
      <c r="AV832" s="5"/>
      <c r="AW832" s="5"/>
      <c r="AX832" s="5"/>
      <c r="AY832" s="5"/>
      <c r="AZ832" s="5"/>
      <c r="BA832" s="5"/>
      <c r="BB832" s="5"/>
      <c r="BC832" s="5"/>
      <c r="BD832" s="5"/>
      <c r="BE832" s="5"/>
      <c r="BF832" s="5"/>
      <c r="BG832" s="5"/>
      <c r="BH832" s="5"/>
      <c r="BI832" s="5"/>
      <c r="BJ832" s="5"/>
      <c r="BK832" s="5"/>
      <c r="BL832" s="5"/>
      <c r="BM832" s="5"/>
      <c r="BN832" s="5"/>
      <c r="BO832" s="5"/>
      <c r="BP832" s="5"/>
      <c r="BQ832" s="5"/>
      <c r="BR832" s="5"/>
      <c r="BS832" s="5"/>
      <c r="BT832" s="5"/>
      <c r="BU832" s="5"/>
      <c r="BV832" s="5"/>
      <c r="BW832" s="5"/>
      <c r="BX832" s="5"/>
      <c r="BY832" s="5"/>
      <c r="BZ832" s="5"/>
      <c r="CA832" s="5"/>
      <c r="CB832" s="5"/>
      <c r="CC832" s="5"/>
      <c r="CD832" s="5"/>
      <c r="CE832" s="5"/>
      <c r="CF832" s="5"/>
      <c r="CG832" s="5"/>
      <c r="CH832" s="5"/>
      <c r="CI832" s="5"/>
    </row>
    <row r="833" ht="14.25" customHeight="1">
      <c r="B833" s="1"/>
      <c r="D833" s="1"/>
      <c r="E833" s="33"/>
      <c r="F833" s="34"/>
      <c r="G833" s="5"/>
      <c r="H833" s="5"/>
      <c r="I833" s="5"/>
      <c r="J833" s="5"/>
      <c r="K833" s="5"/>
      <c r="L833" s="5"/>
      <c r="M833" s="32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  <c r="AG833" s="5"/>
      <c r="AH833" s="5"/>
      <c r="AI833" s="5"/>
      <c r="AJ833" s="5"/>
      <c r="AK833" s="5"/>
      <c r="AL833" s="5"/>
      <c r="AM833" s="5"/>
      <c r="AN833" s="5"/>
      <c r="AO833" s="5"/>
      <c r="AP833" s="5"/>
      <c r="AQ833" s="5"/>
      <c r="AR833" s="5"/>
      <c r="AS833" s="5"/>
      <c r="AT833" s="5"/>
      <c r="AU833" s="5"/>
      <c r="AV833" s="5"/>
      <c r="AW833" s="5"/>
      <c r="AX833" s="5"/>
      <c r="AY833" s="5"/>
      <c r="AZ833" s="5"/>
      <c r="BA833" s="5"/>
      <c r="BB833" s="5"/>
      <c r="BC833" s="5"/>
      <c r="BD833" s="5"/>
      <c r="BE833" s="5"/>
      <c r="BF833" s="5"/>
      <c r="BG833" s="5"/>
      <c r="BH833" s="5"/>
      <c r="BI833" s="5"/>
      <c r="BJ833" s="5"/>
      <c r="BK833" s="5"/>
      <c r="BL833" s="5"/>
      <c r="BM833" s="5"/>
      <c r="BN833" s="5"/>
      <c r="BO833" s="5"/>
      <c r="BP833" s="5"/>
      <c r="BQ833" s="5"/>
      <c r="BR833" s="5"/>
      <c r="BS833" s="5"/>
      <c r="BT833" s="5"/>
      <c r="BU833" s="5"/>
      <c r="BV833" s="5"/>
      <c r="BW833" s="5"/>
      <c r="BX833" s="5"/>
      <c r="BY833" s="5"/>
      <c r="BZ833" s="5"/>
      <c r="CA833" s="5"/>
      <c r="CB833" s="5"/>
      <c r="CC833" s="5"/>
      <c r="CD833" s="5"/>
      <c r="CE833" s="5"/>
      <c r="CF833" s="5"/>
      <c r="CG833" s="5"/>
      <c r="CH833" s="5"/>
      <c r="CI833" s="5"/>
    </row>
    <row r="834" ht="14.25" customHeight="1">
      <c r="B834" s="1"/>
      <c r="D834" s="1"/>
      <c r="E834" s="33"/>
      <c r="F834" s="34"/>
      <c r="G834" s="5"/>
      <c r="H834" s="5"/>
      <c r="I834" s="5"/>
      <c r="J834" s="5"/>
      <c r="K834" s="5"/>
      <c r="L834" s="5"/>
      <c r="M834" s="32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  <c r="AE834" s="5"/>
      <c r="AF834" s="5"/>
      <c r="AG834" s="5"/>
      <c r="AH834" s="5"/>
      <c r="AI834" s="5"/>
      <c r="AJ834" s="5"/>
      <c r="AK834" s="5"/>
      <c r="AL834" s="5"/>
      <c r="AM834" s="5"/>
      <c r="AN834" s="5"/>
      <c r="AO834" s="5"/>
      <c r="AP834" s="5"/>
      <c r="AQ834" s="5"/>
      <c r="AR834" s="5"/>
      <c r="AS834" s="5"/>
      <c r="AT834" s="5"/>
      <c r="AU834" s="5"/>
      <c r="AV834" s="5"/>
      <c r="AW834" s="5"/>
      <c r="AX834" s="5"/>
      <c r="AY834" s="5"/>
      <c r="AZ834" s="5"/>
      <c r="BA834" s="5"/>
      <c r="BB834" s="5"/>
      <c r="BC834" s="5"/>
      <c r="BD834" s="5"/>
      <c r="BE834" s="5"/>
      <c r="BF834" s="5"/>
      <c r="BG834" s="5"/>
      <c r="BH834" s="5"/>
      <c r="BI834" s="5"/>
      <c r="BJ834" s="5"/>
      <c r="BK834" s="5"/>
      <c r="BL834" s="5"/>
      <c r="BM834" s="5"/>
      <c r="BN834" s="5"/>
      <c r="BO834" s="5"/>
      <c r="BP834" s="5"/>
      <c r="BQ834" s="5"/>
      <c r="BR834" s="5"/>
      <c r="BS834" s="5"/>
      <c r="BT834" s="5"/>
      <c r="BU834" s="5"/>
      <c r="BV834" s="5"/>
      <c r="BW834" s="5"/>
      <c r="BX834" s="5"/>
      <c r="BY834" s="5"/>
      <c r="BZ834" s="5"/>
      <c r="CA834" s="5"/>
      <c r="CB834" s="5"/>
      <c r="CC834" s="5"/>
      <c r="CD834" s="5"/>
      <c r="CE834" s="5"/>
      <c r="CF834" s="5"/>
      <c r="CG834" s="5"/>
      <c r="CH834" s="5"/>
      <c r="CI834" s="5"/>
    </row>
    <row r="835" ht="14.25" customHeight="1">
      <c r="B835" s="1"/>
      <c r="D835" s="1"/>
      <c r="E835" s="33"/>
      <c r="F835" s="34"/>
      <c r="G835" s="5"/>
      <c r="H835" s="5"/>
      <c r="I835" s="5"/>
      <c r="J835" s="5"/>
      <c r="K835" s="5"/>
      <c r="L835" s="5"/>
      <c r="M835" s="32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  <c r="AG835" s="5"/>
      <c r="AH835" s="5"/>
      <c r="AI835" s="5"/>
      <c r="AJ835" s="5"/>
      <c r="AK835" s="5"/>
      <c r="AL835" s="5"/>
      <c r="AM835" s="5"/>
      <c r="AN835" s="5"/>
      <c r="AO835" s="5"/>
      <c r="AP835" s="5"/>
      <c r="AQ835" s="5"/>
      <c r="AR835" s="5"/>
      <c r="AS835" s="5"/>
      <c r="AT835" s="5"/>
      <c r="AU835" s="5"/>
      <c r="AV835" s="5"/>
      <c r="AW835" s="5"/>
      <c r="AX835" s="5"/>
      <c r="AY835" s="5"/>
      <c r="AZ835" s="5"/>
      <c r="BA835" s="5"/>
      <c r="BB835" s="5"/>
      <c r="BC835" s="5"/>
      <c r="BD835" s="5"/>
      <c r="BE835" s="5"/>
      <c r="BF835" s="5"/>
      <c r="BG835" s="5"/>
      <c r="BH835" s="5"/>
      <c r="BI835" s="5"/>
      <c r="BJ835" s="5"/>
      <c r="BK835" s="5"/>
      <c r="BL835" s="5"/>
      <c r="BM835" s="5"/>
      <c r="BN835" s="5"/>
      <c r="BO835" s="5"/>
      <c r="BP835" s="5"/>
      <c r="BQ835" s="5"/>
      <c r="BR835" s="5"/>
      <c r="BS835" s="5"/>
      <c r="BT835" s="5"/>
      <c r="BU835" s="5"/>
      <c r="BV835" s="5"/>
      <c r="BW835" s="5"/>
      <c r="BX835" s="5"/>
      <c r="BY835" s="5"/>
      <c r="BZ835" s="5"/>
      <c r="CA835" s="5"/>
      <c r="CB835" s="5"/>
      <c r="CC835" s="5"/>
      <c r="CD835" s="5"/>
      <c r="CE835" s="5"/>
      <c r="CF835" s="5"/>
      <c r="CG835" s="5"/>
      <c r="CH835" s="5"/>
      <c r="CI835" s="5"/>
    </row>
    <row r="836" ht="14.25" customHeight="1">
      <c r="B836" s="1"/>
      <c r="D836" s="1"/>
      <c r="E836" s="33"/>
      <c r="F836" s="34"/>
      <c r="G836" s="5"/>
      <c r="H836" s="5"/>
      <c r="I836" s="5"/>
      <c r="J836" s="5"/>
      <c r="K836" s="5"/>
      <c r="L836" s="5"/>
      <c r="M836" s="32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  <c r="AG836" s="5"/>
      <c r="AH836" s="5"/>
      <c r="AI836" s="5"/>
      <c r="AJ836" s="5"/>
      <c r="AK836" s="5"/>
      <c r="AL836" s="5"/>
      <c r="AM836" s="5"/>
      <c r="AN836" s="5"/>
      <c r="AO836" s="5"/>
      <c r="AP836" s="5"/>
      <c r="AQ836" s="5"/>
      <c r="AR836" s="5"/>
      <c r="AS836" s="5"/>
      <c r="AT836" s="5"/>
      <c r="AU836" s="5"/>
      <c r="AV836" s="5"/>
      <c r="AW836" s="5"/>
      <c r="AX836" s="5"/>
      <c r="AY836" s="5"/>
      <c r="AZ836" s="5"/>
      <c r="BA836" s="5"/>
      <c r="BB836" s="5"/>
      <c r="BC836" s="5"/>
      <c r="BD836" s="5"/>
      <c r="BE836" s="5"/>
      <c r="BF836" s="5"/>
      <c r="BG836" s="5"/>
      <c r="BH836" s="5"/>
      <c r="BI836" s="5"/>
      <c r="BJ836" s="5"/>
      <c r="BK836" s="5"/>
      <c r="BL836" s="5"/>
      <c r="BM836" s="5"/>
      <c r="BN836" s="5"/>
      <c r="BO836" s="5"/>
      <c r="BP836" s="5"/>
      <c r="BQ836" s="5"/>
      <c r="BR836" s="5"/>
      <c r="BS836" s="5"/>
      <c r="BT836" s="5"/>
      <c r="BU836" s="5"/>
      <c r="BV836" s="5"/>
      <c r="BW836" s="5"/>
      <c r="BX836" s="5"/>
      <c r="BY836" s="5"/>
      <c r="BZ836" s="5"/>
      <c r="CA836" s="5"/>
      <c r="CB836" s="5"/>
      <c r="CC836" s="5"/>
      <c r="CD836" s="5"/>
      <c r="CE836" s="5"/>
      <c r="CF836" s="5"/>
      <c r="CG836" s="5"/>
      <c r="CH836" s="5"/>
      <c r="CI836" s="5"/>
    </row>
    <row r="837" ht="14.25" customHeight="1">
      <c r="B837" s="1"/>
      <c r="D837" s="1"/>
      <c r="E837" s="33"/>
      <c r="F837" s="34"/>
      <c r="G837" s="5"/>
      <c r="H837" s="5"/>
      <c r="I837" s="5"/>
      <c r="J837" s="5"/>
      <c r="K837" s="5"/>
      <c r="L837" s="5"/>
      <c r="M837" s="32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  <c r="AG837" s="5"/>
      <c r="AH837" s="5"/>
      <c r="AI837" s="5"/>
      <c r="AJ837" s="5"/>
      <c r="AK837" s="5"/>
      <c r="AL837" s="5"/>
      <c r="AM837" s="5"/>
      <c r="AN837" s="5"/>
      <c r="AO837" s="5"/>
      <c r="AP837" s="5"/>
      <c r="AQ837" s="5"/>
      <c r="AR837" s="5"/>
      <c r="AS837" s="5"/>
      <c r="AT837" s="5"/>
      <c r="AU837" s="5"/>
      <c r="AV837" s="5"/>
      <c r="AW837" s="5"/>
      <c r="AX837" s="5"/>
      <c r="AY837" s="5"/>
      <c r="AZ837" s="5"/>
      <c r="BA837" s="5"/>
      <c r="BB837" s="5"/>
      <c r="BC837" s="5"/>
      <c r="BD837" s="5"/>
      <c r="BE837" s="5"/>
      <c r="BF837" s="5"/>
      <c r="BG837" s="5"/>
      <c r="BH837" s="5"/>
      <c r="BI837" s="5"/>
      <c r="BJ837" s="5"/>
      <c r="BK837" s="5"/>
      <c r="BL837" s="5"/>
      <c r="BM837" s="5"/>
      <c r="BN837" s="5"/>
      <c r="BO837" s="5"/>
      <c r="BP837" s="5"/>
      <c r="BQ837" s="5"/>
      <c r="BR837" s="5"/>
      <c r="BS837" s="5"/>
      <c r="BT837" s="5"/>
      <c r="BU837" s="5"/>
      <c r="BV837" s="5"/>
      <c r="BW837" s="5"/>
      <c r="BX837" s="5"/>
      <c r="BY837" s="5"/>
      <c r="BZ837" s="5"/>
      <c r="CA837" s="5"/>
      <c r="CB837" s="5"/>
      <c r="CC837" s="5"/>
      <c r="CD837" s="5"/>
      <c r="CE837" s="5"/>
      <c r="CF837" s="5"/>
      <c r="CG837" s="5"/>
      <c r="CH837" s="5"/>
      <c r="CI837" s="5"/>
    </row>
    <row r="838" ht="14.25" customHeight="1">
      <c r="B838" s="1"/>
      <c r="D838" s="1"/>
      <c r="E838" s="33"/>
      <c r="F838" s="34"/>
      <c r="G838" s="5"/>
      <c r="H838" s="5"/>
      <c r="I838" s="5"/>
      <c r="J838" s="5"/>
      <c r="K838" s="5"/>
      <c r="L838" s="5"/>
      <c r="M838" s="32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  <c r="AG838" s="5"/>
      <c r="AH838" s="5"/>
      <c r="AI838" s="5"/>
      <c r="AJ838" s="5"/>
      <c r="AK838" s="5"/>
      <c r="AL838" s="5"/>
      <c r="AM838" s="5"/>
      <c r="AN838" s="5"/>
      <c r="AO838" s="5"/>
      <c r="AP838" s="5"/>
      <c r="AQ838" s="5"/>
      <c r="AR838" s="5"/>
      <c r="AS838" s="5"/>
      <c r="AT838" s="5"/>
      <c r="AU838" s="5"/>
      <c r="AV838" s="5"/>
      <c r="AW838" s="5"/>
      <c r="AX838" s="5"/>
      <c r="AY838" s="5"/>
      <c r="AZ838" s="5"/>
      <c r="BA838" s="5"/>
      <c r="BB838" s="5"/>
      <c r="BC838" s="5"/>
      <c r="BD838" s="5"/>
      <c r="BE838" s="5"/>
      <c r="BF838" s="5"/>
      <c r="BG838" s="5"/>
      <c r="BH838" s="5"/>
      <c r="BI838" s="5"/>
      <c r="BJ838" s="5"/>
      <c r="BK838" s="5"/>
      <c r="BL838" s="5"/>
      <c r="BM838" s="5"/>
      <c r="BN838" s="5"/>
      <c r="BO838" s="5"/>
      <c r="BP838" s="5"/>
      <c r="BQ838" s="5"/>
      <c r="BR838" s="5"/>
      <c r="BS838" s="5"/>
      <c r="BT838" s="5"/>
      <c r="BU838" s="5"/>
      <c r="BV838" s="5"/>
      <c r="BW838" s="5"/>
      <c r="BX838" s="5"/>
      <c r="BY838" s="5"/>
      <c r="BZ838" s="5"/>
      <c r="CA838" s="5"/>
      <c r="CB838" s="5"/>
      <c r="CC838" s="5"/>
      <c r="CD838" s="5"/>
      <c r="CE838" s="5"/>
      <c r="CF838" s="5"/>
      <c r="CG838" s="5"/>
      <c r="CH838" s="5"/>
      <c r="CI838" s="5"/>
    </row>
    <row r="839" ht="14.25" customHeight="1">
      <c r="B839" s="1"/>
      <c r="D839" s="1"/>
      <c r="E839" s="33"/>
      <c r="F839" s="34"/>
      <c r="G839" s="5"/>
      <c r="H839" s="5"/>
      <c r="I839" s="5"/>
      <c r="J839" s="5"/>
      <c r="K839" s="5"/>
      <c r="L839" s="5"/>
      <c r="M839" s="32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  <c r="AE839" s="5"/>
      <c r="AF839" s="5"/>
      <c r="AG839" s="5"/>
      <c r="AH839" s="5"/>
      <c r="AI839" s="5"/>
      <c r="AJ839" s="5"/>
      <c r="AK839" s="5"/>
      <c r="AL839" s="5"/>
      <c r="AM839" s="5"/>
      <c r="AN839" s="5"/>
      <c r="AO839" s="5"/>
      <c r="AP839" s="5"/>
      <c r="AQ839" s="5"/>
      <c r="AR839" s="5"/>
      <c r="AS839" s="5"/>
      <c r="AT839" s="5"/>
      <c r="AU839" s="5"/>
      <c r="AV839" s="5"/>
      <c r="AW839" s="5"/>
      <c r="AX839" s="5"/>
      <c r="AY839" s="5"/>
      <c r="AZ839" s="5"/>
      <c r="BA839" s="5"/>
      <c r="BB839" s="5"/>
      <c r="BC839" s="5"/>
      <c r="BD839" s="5"/>
      <c r="BE839" s="5"/>
      <c r="BF839" s="5"/>
      <c r="BG839" s="5"/>
      <c r="BH839" s="5"/>
      <c r="BI839" s="5"/>
      <c r="BJ839" s="5"/>
      <c r="BK839" s="5"/>
      <c r="BL839" s="5"/>
      <c r="BM839" s="5"/>
      <c r="BN839" s="5"/>
      <c r="BO839" s="5"/>
      <c r="BP839" s="5"/>
      <c r="BQ839" s="5"/>
      <c r="BR839" s="5"/>
      <c r="BS839" s="5"/>
      <c r="BT839" s="5"/>
      <c r="BU839" s="5"/>
      <c r="BV839" s="5"/>
      <c r="BW839" s="5"/>
      <c r="BX839" s="5"/>
      <c r="BY839" s="5"/>
      <c r="BZ839" s="5"/>
      <c r="CA839" s="5"/>
      <c r="CB839" s="5"/>
      <c r="CC839" s="5"/>
      <c r="CD839" s="5"/>
      <c r="CE839" s="5"/>
      <c r="CF839" s="5"/>
      <c r="CG839" s="5"/>
      <c r="CH839" s="5"/>
      <c r="CI839" s="5"/>
    </row>
    <row r="840" ht="14.25" customHeight="1">
      <c r="B840" s="1"/>
      <c r="D840" s="1"/>
      <c r="E840" s="33"/>
      <c r="F840" s="34"/>
      <c r="G840" s="5"/>
      <c r="H840" s="5"/>
      <c r="I840" s="5"/>
      <c r="J840" s="5"/>
      <c r="K840" s="5"/>
      <c r="L840" s="5"/>
      <c r="M840" s="32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  <c r="AG840" s="5"/>
      <c r="AH840" s="5"/>
      <c r="AI840" s="5"/>
      <c r="AJ840" s="5"/>
      <c r="AK840" s="5"/>
      <c r="AL840" s="5"/>
      <c r="AM840" s="5"/>
      <c r="AN840" s="5"/>
      <c r="AO840" s="5"/>
      <c r="AP840" s="5"/>
      <c r="AQ840" s="5"/>
      <c r="AR840" s="5"/>
      <c r="AS840" s="5"/>
      <c r="AT840" s="5"/>
      <c r="AU840" s="5"/>
      <c r="AV840" s="5"/>
      <c r="AW840" s="5"/>
      <c r="AX840" s="5"/>
      <c r="AY840" s="5"/>
      <c r="AZ840" s="5"/>
      <c r="BA840" s="5"/>
      <c r="BB840" s="5"/>
      <c r="BC840" s="5"/>
      <c r="BD840" s="5"/>
      <c r="BE840" s="5"/>
      <c r="BF840" s="5"/>
      <c r="BG840" s="5"/>
      <c r="BH840" s="5"/>
      <c r="BI840" s="5"/>
      <c r="BJ840" s="5"/>
      <c r="BK840" s="5"/>
      <c r="BL840" s="5"/>
      <c r="BM840" s="5"/>
      <c r="BN840" s="5"/>
      <c r="BO840" s="5"/>
      <c r="BP840" s="5"/>
      <c r="BQ840" s="5"/>
      <c r="BR840" s="5"/>
      <c r="BS840" s="5"/>
      <c r="BT840" s="5"/>
      <c r="BU840" s="5"/>
      <c r="BV840" s="5"/>
      <c r="BW840" s="5"/>
      <c r="BX840" s="5"/>
      <c r="BY840" s="5"/>
      <c r="BZ840" s="5"/>
      <c r="CA840" s="5"/>
      <c r="CB840" s="5"/>
      <c r="CC840" s="5"/>
      <c r="CD840" s="5"/>
      <c r="CE840" s="5"/>
      <c r="CF840" s="5"/>
      <c r="CG840" s="5"/>
      <c r="CH840" s="5"/>
      <c r="CI840" s="5"/>
    </row>
    <row r="841" ht="14.25" customHeight="1">
      <c r="B841" s="1"/>
      <c r="D841" s="1"/>
      <c r="E841" s="33"/>
      <c r="F841" s="34"/>
      <c r="G841" s="5"/>
      <c r="H841" s="5"/>
      <c r="I841" s="5"/>
      <c r="J841" s="5"/>
      <c r="K841" s="5"/>
      <c r="L841" s="5"/>
      <c r="M841" s="32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  <c r="AG841" s="5"/>
      <c r="AH841" s="5"/>
      <c r="AI841" s="5"/>
      <c r="AJ841" s="5"/>
      <c r="AK841" s="5"/>
      <c r="AL841" s="5"/>
      <c r="AM841" s="5"/>
      <c r="AN841" s="5"/>
      <c r="AO841" s="5"/>
      <c r="AP841" s="5"/>
      <c r="AQ841" s="5"/>
      <c r="AR841" s="5"/>
      <c r="AS841" s="5"/>
      <c r="AT841" s="5"/>
      <c r="AU841" s="5"/>
      <c r="AV841" s="5"/>
      <c r="AW841" s="5"/>
      <c r="AX841" s="5"/>
      <c r="AY841" s="5"/>
      <c r="AZ841" s="5"/>
      <c r="BA841" s="5"/>
      <c r="BB841" s="5"/>
      <c r="BC841" s="5"/>
      <c r="BD841" s="5"/>
      <c r="BE841" s="5"/>
      <c r="BF841" s="5"/>
      <c r="BG841" s="5"/>
      <c r="BH841" s="5"/>
      <c r="BI841" s="5"/>
      <c r="BJ841" s="5"/>
      <c r="BK841" s="5"/>
      <c r="BL841" s="5"/>
      <c r="BM841" s="5"/>
      <c r="BN841" s="5"/>
      <c r="BO841" s="5"/>
      <c r="BP841" s="5"/>
      <c r="BQ841" s="5"/>
      <c r="BR841" s="5"/>
      <c r="BS841" s="5"/>
      <c r="BT841" s="5"/>
      <c r="BU841" s="5"/>
      <c r="BV841" s="5"/>
      <c r="BW841" s="5"/>
      <c r="BX841" s="5"/>
      <c r="BY841" s="5"/>
      <c r="BZ841" s="5"/>
      <c r="CA841" s="5"/>
      <c r="CB841" s="5"/>
      <c r="CC841" s="5"/>
      <c r="CD841" s="5"/>
      <c r="CE841" s="5"/>
      <c r="CF841" s="5"/>
      <c r="CG841" s="5"/>
      <c r="CH841" s="5"/>
      <c r="CI841" s="5"/>
    </row>
    <row r="842" ht="14.25" customHeight="1">
      <c r="B842" s="1"/>
      <c r="D842" s="1"/>
      <c r="E842" s="33"/>
      <c r="F842" s="34"/>
      <c r="G842" s="5"/>
      <c r="H842" s="5"/>
      <c r="I842" s="5"/>
      <c r="J842" s="5"/>
      <c r="K842" s="5"/>
      <c r="L842" s="5"/>
      <c r="M842" s="32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  <c r="AE842" s="5"/>
      <c r="AF842" s="5"/>
      <c r="AG842" s="5"/>
      <c r="AH842" s="5"/>
      <c r="AI842" s="5"/>
      <c r="AJ842" s="5"/>
      <c r="AK842" s="5"/>
      <c r="AL842" s="5"/>
      <c r="AM842" s="5"/>
      <c r="AN842" s="5"/>
      <c r="AO842" s="5"/>
      <c r="AP842" s="5"/>
      <c r="AQ842" s="5"/>
      <c r="AR842" s="5"/>
      <c r="AS842" s="5"/>
      <c r="AT842" s="5"/>
      <c r="AU842" s="5"/>
      <c r="AV842" s="5"/>
      <c r="AW842" s="5"/>
      <c r="AX842" s="5"/>
      <c r="AY842" s="5"/>
      <c r="AZ842" s="5"/>
      <c r="BA842" s="5"/>
      <c r="BB842" s="5"/>
      <c r="BC842" s="5"/>
      <c r="BD842" s="5"/>
      <c r="BE842" s="5"/>
      <c r="BF842" s="5"/>
      <c r="BG842" s="5"/>
      <c r="BH842" s="5"/>
      <c r="BI842" s="5"/>
      <c r="BJ842" s="5"/>
      <c r="BK842" s="5"/>
      <c r="BL842" s="5"/>
      <c r="BM842" s="5"/>
      <c r="BN842" s="5"/>
      <c r="BO842" s="5"/>
      <c r="BP842" s="5"/>
      <c r="BQ842" s="5"/>
      <c r="BR842" s="5"/>
      <c r="BS842" s="5"/>
      <c r="BT842" s="5"/>
      <c r="BU842" s="5"/>
      <c r="BV842" s="5"/>
      <c r="BW842" s="5"/>
      <c r="BX842" s="5"/>
      <c r="BY842" s="5"/>
      <c r="BZ842" s="5"/>
      <c r="CA842" s="5"/>
      <c r="CB842" s="5"/>
      <c r="CC842" s="5"/>
      <c r="CD842" s="5"/>
      <c r="CE842" s="5"/>
      <c r="CF842" s="5"/>
      <c r="CG842" s="5"/>
      <c r="CH842" s="5"/>
      <c r="CI842" s="5"/>
    </row>
    <row r="843" ht="14.25" customHeight="1">
      <c r="B843" s="1"/>
      <c r="D843" s="1"/>
      <c r="E843" s="33"/>
      <c r="F843" s="34"/>
      <c r="G843" s="5"/>
      <c r="H843" s="5"/>
      <c r="I843" s="5"/>
      <c r="J843" s="5"/>
      <c r="K843" s="5"/>
      <c r="L843" s="5"/>
      <c r="M843" s="32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  <c r="AE843" s="5"/>
      <c r="AF843" s="5"/>
      <c r="AG843" s="5"/>
      <c r="AH843" s="5"/>
      <c r="AI843" s="5"/>
      <c r="AJ843" s="5"/>
      <c r="AK843" s="5"/>
      <c r="AL843" s="5"/>
      <c r="AM843" s="5"/>
      <c r="AN843" s="5"/>
      <c r="AO843" s="5"/>
      <c r="AP843" s="5"/>
      <c r="AQ843" s="5"/>
      <c r="AR843" s="5"/>
      <c r="AS843" s="5"/>
      <c r="AT843" s="5"/>
      <c r="AU843" s="5"/>
      <c r="AV843" s="5"/>
      <c r="AW843" s="5"/>
      <c r="AX843" s="5"/>
      <c r="AY843" s="5"/>
      <c r="AZ843" s="5"/>
      <c r="BA843" s="5"/>
      <c r="BB843" s="5"/>
      <c r="BC843" s="5"/>
      <c r="BD843" s="5"/>
      <c r="BE843" s="5"/>
      <c r="BF843" s="5"/>
      <c r="BG843" s="5"/>
      <c r="BH843" s="5"/>
      <c r="BI843" s="5"/>
      <c r="BJ843" s="5"/>
      <c r="BK843" s="5"/>
      <c r="BL843" s="5"/>
      <c r="BM843" s="5"/>
      <c r="BN843" s="5"/>
      <c r="BO843" s="5"/>
      <c r="BP843" s="5"/>
      <c r="BQ843" s="5"/>
      <c r="BR843" s="5"/>
      <c r="BS843" s="5"/>
      <c r="BT843" s="5"/>
      <c r="BU843" s="5"/>
      <c r="BV843" s="5"/>
      <c r="BW843" s="5"/>
      <c r="BX843" s="5"/>
      <c r="BY843" s="5"/>
      <c r="BZ843" s="5"/>
      <c r="CA843" s="5"/>
      <c r="CB843" s="5"/>
      <c r="CC843" s="5"/>
      <c r="CD843" s="5"/>
      <c r="CE843" s="5"/>
      <c r="CF843" s="5"/>
      <c r="CG843" s="5"/>
      <c r="CH843" s="5"/>
      <c r="CI843" s="5"/>
    </row>
    <row r="844" ht="14.25" customHeight="1">
      <c r="B844" s="1"/>
      <c r="D844" s="1"/>
      <c r="E844" s="33"/>
      <c r="F844" s="34"/>
      <c r="G844" s="5"/>
      <c r="H844" s="5"/>
      <c r="I844" s="5"/>
      <c r="J844" s="5"/>
      <c r="K844" s="5"/>
      <c r="L844" s="5"/>
      <c r="M844" s="32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  <c r="AG844" s="5"/>
      <c r="AH844" s="5"/>
      <c r="AI844" s="5"/>
      <c r="AJ844" s="5"/>
      <c r="AK844" s="5"/>
      <c r="AL844" s="5"/>
      <c r="AM844" s="5"/>
      <c r="AN844" s="5"/>
      <c r="AO844" s="5"/>
      <c r="AP844" s="5"/>
      <c r="AQ844" s="5"/>
      <c r="AR844" s="5"/>
      <c r="AS844" s="5"/>
      <c r="AT844" s="5"/>
      <c r="AU844" s="5"/>
      <c r="AV844" s="5"/>
      <c r="AW844" s="5"/>
      <c r="AX844" s="5"/>
      <c r="AY844" s="5"/>
      <c r="AZ844" s="5"/>
      <c r="BA844" s="5"/>
      <c r="BB844" s="5"/>
      <c r="BC844" s="5"/>
      <c r="BD844" s="5"/>
      <c r="BE844" s="5"/>
      <c r="BF844" s="5"/>
      <c r="BG844" s="5"/>
      <c r="BH844" s="5"/>
      <c r="BI844" s="5"/>
      <c r="BJ844" s="5"/>
      <c r="BK844" s="5"/>
      <c r="BL844" s="5"/>
      <c r="BM844" s="5"/>
      <c r="BN844" s="5"/>
      <c r="BO844" s="5"/>
      <c r="BP844" s="5"/>
      <c r="BQ844" s="5"/>
      <c r="BR844" s="5"/>
      <c r="BS844" s="5"/>
      <c r="BT844" s="5"/>
      <c r="BU844" s="5"/>
      <c r="BV844" s="5"/>
      <c r="BW844" s="5"/>
      <c r="BX844" s="5"/>
      <c r="BY844" s="5"/>
      <c r="BZ844" s="5"/>
      <c r="CA844" s="5"/>
      <c r="CB844" s="5"/>
      <c r="CC844" s="5"/>
      <c r="CD844" s="5"/>
      <c r="CE844" s="5"/>
      <c r="CF844" s="5"/>
      <c r="CG844" s="5"/>
      <c r="CH844" s="5"/>
      <c r="CI844" s="5"/>
    </row>
    <row r="845" ht="14.25" customHeight="1">
      <c r="B845" s="1"/>
      <c r="D845" s="1"/>
      <c r="E845" s="33"/>
      <c r="F845" s="34"/>
      <c r="G845" s="5"/>
      <c r="H845" s="5"/>
      <c r="I845" s="5"/>
      <c r="J845" s="5"/>
      <c r="K845" s="5"/>
      <c r="L845" s="5"/>
      <c r="M845" s="32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  <c r="AE845" s="5"/>
      <c r="AF845" s="5"/>
      <c r="AG845" s="5"/>
      <c r="AH845" s="5"/>
      <c r="AI845" s="5"/>
      <c r="AJ845" s="5"/>
      <c r="AK845" s="5"/>
      <c r="AL845" s="5"/>
      <c r="AM845" s="5"/>
      <c r="AN845" s="5"/>
      <c r="AO845" s="5"/>
      <c r="AP845" s="5"/>
      <c r="AQ845" s="5"/>
      <c r="AR845" s="5"/>
      <c r="AS845" s="5"/>
      <c r="AT845" s="5"/>
      <c r="AU845" s="5"/>
      <c r="AV845" s="5"/>
      <c r="AW845" s="5"/>
      <c r="AX845" s="5"/>
      <c r="AY845" s="5"/>
      <c r="AZ845" s="5"/>
      <c r="BA845" s="5"/>
      <c r="BB845" s="5"/>
      <c r="BC845" s="5"/>
      <c r="BD845" s="5"/>
      <c r="BE845" s="5"/>
      <c r="BF845" s="5"/>
      <c r="BG845" s="5"/>
      <c r="BH845" s="5"/>
      <c r="BI845" s="5"/>
      <c r="BJ845" s="5"/>
      <c r="BK845" s="5"/>
      <c r="BL845" s="5"/>
      <c r="BM845" s="5"/>
      <c r="BN845" s="5"/>
      <c r="BO845" s="5"/>
      <c r="BP845" s="5"/>
      <c r="BQ845" s="5"/>
      <c r="BR845" s="5"/>
      <c r="BS845" s="5"/>
      <c r="BT845" s="5"/>
      <c r="BU845" s="5"/>
      <c r="BV845" s="5"/>
      <c r="BW845" s="5"/>
      <c r="BX845" s="5"/>
      <c r="BY845" s="5"/>
      <c r="BZ845" s="5"/>
      <c r="CA845" s="5"/>
      <c r="CB845" s="5"/>
      <c r="CC845" s="5"/>
      <c r="CD845" s="5"/>
      <c r="CE845" s="5"/>
      <c r="CF845" s="5"/>
      <c r="CG845" s="5"/>
      <c r="CH845" s="5"/>
      <c r="CI845" s="5"/>
    </row>
    <row r="846" ht="14.25" customHeight="1">
      <c r="B846" s="1"/>
      <c r="D846" s="1"/>
      <c r="E846" s="33"/>
      <c r="F846" s="34"/>
      <c r="G846" s="5"/>
      <c r="H846" s="5"/>
      <c r="I846" s="5"/>
      <c r="J846" s="5"/>
      <c r="K846" s="5"/>
      <c r="L846" s="5"/>
      <c r="M846" s="32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  <c r="AG846" s="5"/>
      <c r="AH846" s="5"/>
      <c r="AI846" s="5"/>
      <c r="AJ846" s="5"/>
      <c r="AK846" s="5"/>
      <c r="AL846" s="5"/>
      <c r="AM846" s="5"/>
      <c r="AN846" s="5"/>
      <c r="AO846" s="5"/>
      <c r="AP846" s="5"/>
      <c r="AQ846" s="5"/>
      <c r="AR846" s="5"/>
      <c r="AS846" s="5"/>
      <c r="AT846" s="5"/>
      <c r="AU846" s="5"/>
      <c r="AV846" s="5"/>
      <c r="AW846" s="5"/>
      <c r="AX846" s="5"/>
      <c r="AY846" s="5"/>
      <c r="AZ846" s="5"/>
      <c r="BA846" s="5"/>
      <c r="BB846" s="5"/>
      <c r="BC846" s="5"/>
      <c r="BD846" s="5"/>
      <c r="BE846" s="5"/>
      <c r="BF846" s="5"/>
      <c r="BG846" s="5"/>
      <c r="BH846" s="5"/>
      <c r="BI846" s="5"/>
      <c r="BJ846" s="5"/>
      <c r="BK846" s="5"/>
      <c r="BL846" s="5"/>
      <c r="BM846" s="5"/>
      <c r="BN846" s="5"/>
      <c r="BO846" s="5"/>
      <c r="BP846" s="5"/>
      <c r="BQ846" s="5"/>
      <c r="BR846" s="5"/>
      <c r="BS846" s="5"/>
      <c r="BT846" s="5"/>
      <c r="BU846" s="5"/>
      <c r="BV846" s="5"/>
      <c r="BW846" s="5"/>
      <c r="BX846" s="5"/>
      <c r="BY846" s="5"/>
      <c r="BZ846" s="5"/>
      <c r="CA846" s="5"/>
      <c r="CB846" s="5"/>
      <c r="CC846" s="5"/>
      <c r="CD846" s="5"/>
      <c r="CE846" s="5"/>
      <c r="CF846" s="5"/>
      <c r="CG846" s="5"/>
      <c r="CH846" s="5"/>
      <c r="CI846" s="5"/>
    </row>
    <row r="847" ht="14.25" customHeight="1">
      <c r="B847" s="1"/>
      <c r="D847" s="1"/>
      <c r="E847" s="33"/>
      <c r="F847" s="34"/>
      <c r="G847" s="5"/>
      <c r="H847" s="5"/>
      <c r="I847" s="5"/>
      <c r="J847" s="5"/>
      <c r="K847" s="5"/>
      <c r="L847" s="5"/>
      <c r="M847" s="32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  <c r="AG847" s="5"/>
      <c r="AH847" s="5"/>
      <c r="AI847" s="5"/>
      <c r="AJ847" s="5"/>
      <c r="AK847" s="5"/>
      <c r="AL847" s="5"/>
      <c r="AM847" s="5"/>
      <c r="AN847" s="5"/>
      <c r="AO847" s="5"/>
      <c r="AP847" s="5"/>
      <c r="AQ847" s="5"/>
      <c r="AR847" s="5"/>
      <c r="AS847" s="5"/>
      <c r="AT847" s="5"/>
      <c r="AU847" s="5"/>
      <c r="AV847" s="5"/>
      <c r="AW847" s="5"/>
      <c r="AX847" s="5"/>
      <c r="AY847" s="5"/>
      <c r="AZ847" s="5"/>
      <c r="BA847" s="5"/>
      <c r="BB847" s="5"/>
      <c r="BC847" s="5"/>
      <c r="BD847" s="5"/>
      <c r="BE847" s="5"/>
      <c r="BF847" s="5"/>
      <c r="BG847" s="5"/>
      <c r="BH847" s="5"/>
      <c r="BI847" s="5"/>
      <c r="BJ847" s="5"/>
      <c r="BK847" s="5"/>
      <c r="BL847" s="5"/>
      <c r="BM847" s="5"/>
      <c r="BN847" s="5"/>
      <c r="BO847" s="5"/>
      <c r="BP847" s="5"/>
      <c r="BQ847" s="5"/>
      <c r="BR847" s="5"/>
      <c r="BS847" s="5"/>
      <c r="BT847" s="5"/>
      <c r="BU847" s="5"/>
      <c r="BV847" s="5"/>
      <c r="BW847" s="5"/>
      <c r="BX847" s="5"/>
      <c r="BY847" s="5"/>
      <c r="BZ847" s="5"/>
      <c r="CA847" s="5"/>
      <c r="CB847" s="5"/>
      <c r="CC847" s="5"/>
      <c r="CD847" s="5"/>
      <c r="CE847" s="5"/>
      <c r="CF847" s="5"/>
      <c r="CG847" s="5"/>
      <c r="CH847" s="5"/>
      <c r="CI847" s="5"/>
    </row>
    <row r="848" ht="14.25" customHeight="1">
      <c r="B848" s="1"/>
      <c r="D848" s="1"/>
      <c r="E848" s="33"/>
      <c r="F848" s="34"/>
      <c r="G848" s="5"/>
      <c r="H848" s="5"/>
      <c r="I848" s="5"/>
      <c r="J848" s="5"/>
      <c r="K848" s="5"/>
      <c r="L848" s="5"/>
      <c r="M848" s="32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  <c r="AG848" s="5"/>
      <c r="AH848" s="5"/>
      <c r="AI848" s="5"/>
      <c r="AJ848" s="5"/>
      <c r="AK848" s="5"/>
      <c r="AL848" s="5"/>
      <c r="AM848" s="5"/>
      <c r="AN848" s="5"/>
      <c r="AO848" s="5"/>
      <c r="AP848" s="5"/>
      <c r="AQ848" s="5"/>
      <c r="AR848" s="5"/>
      <c r="AS848" s="5"/>
      <c r="AT848" s="5"/>
      <c r="AU848" s="5"/>
      <c r="AV848" s="5"/>
      <c r="AW848" s="5"/>
      <c r="AX848" s="5"/>
      <c r="AY848" s="5"/>
      <c r="AZ848" s="5"/>
      <c r="BA848" s="5"/>
      <c r="BB848" s="5"/>
      <c r="BC848" s="5"/>
      <c r="BD848" s="5"/>
      <c r="BE848" s="5"/>
      <c r="BF848" s="5"/>
      <c r="BG848" s="5"/>
      <c r="BH848" s="5"/>
      <c r="BI848" s="5"/>
      <c r="BJ848" s="5"/>
      <c r="BK848" s="5"/>
      <c r="BL848" s="5"/>
      <c r="BM848" s="5"/>
      <c r="BN848" s="5"/>
      <c r="BO848" s="5"/>
      <c r="BP848" s="5"/>
      <c r="BQ848" s="5"/>
      <c r="BR848" s="5"/>
      <c r="BS848" s="5"/>
      <c r="BT848" s="5"/>
      <c r="BU848" s="5"/>
      <c r="BV848" s="5"/>
      <c r="BW848" s="5"/>
      <c r="BX848" s="5"/>
      <c r="BY848" s="5"/>
      <c r="BZ848" s="5"/>
      <c r="CA848" s="5"/>
      <c r="CB848" s="5"/>
      <c r="CC848" s="5"/>
      <c r="CD848" s="5"/>
      <c r="CE848" s="5"/>
      <c r="CF848" s="5"/>
      <c r="CG848" s="5"/>
      <c r="CH848" s="5"/>
      <c r="CI848" s="5"/>
    </row>
    <row r="849" ht="14.25" customHeight="1">
      <c r="B849" s="1"/>
      <c r="D849" s="1"/>
      <c r="E849" s="33"/>
      <c r="F849" s="34"/>
      <c r="G849" s="5"/>
      <c r="H849" s="5"/>
      <c r="I849" s="5"/>
      <c r="J849" s="5"/>
      <c r="K849" s="5"/>
      <c r="L849" s="5"/>
      <c r="M849" s="32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  <c r="AG849" s="5"/>
      <c r="AH849" s="5"/>
      <c r="AI849" s="5"/>
      <c r="AJ849" s="5"/>
      <c r="AK849" s="5"/>
      <c r="AL849" s="5"/>
      <c r="AM849" s="5"/>
      <c r="AN849" s="5"/>
      <c r="AO849" s="5"/>
      <c r="AP849" s="5"/>
      <c r="AQ849" s="5"/>
      <c r="AR849" s="5"/>
      <c r="AS849" s="5"/>
      <c r="AT849" s="5"/>
      <c r="AU849" s="5"/>
      <c r="AV849" s="5"/>
      <c r="AW849" s="5"/>
      <c r="AX849" s="5"/>
      <c r="AY849" s="5"/>
      <c r="AZ849" s="5"/>
      <c r="BA849" s="5"/>
      <c r="BB849" s="5"/>
      <c r="BC849" s="5"/>
      <c r="BD849" s="5"/>
      <c r="BE849" s="5"/>
      <c r="BF849" s="5"/>
      <c r="BG849" s="5"/>
      <c r="BH849" s="5"/>
      <c r="BI849" s="5"/>
      <c r="BJ849" s="5"/>
      <c r="BK849" s="5"/>
      <c r="BL849" s="5"/>
      <c r="BM849" s="5"/>
      <c r="BN849" s="5"/>
      <c r="BO849" s="5"/>
      <c r="BP849" s="5"/>
      <c r="BQ849" s="5"/>
      <c r="BR849" s="5"/>
      <c r="BS849" s="5"/>
      <c r="BT849" s="5"/>
      <c r="BU849" s="5"/>
      <c r="BV849" s="5"/>
      <c r="BW849" s="5"/>
      <c r="BX849" s="5"/>
      <c r="BY849" s="5"/>
      <c r="BZ849" s="5"/>
      <c r="CA849" s="5"/>
      <c r="CB849" s="5"/>
      <c r="CC849" s="5"/>
      <c r="CD849" s="5"/>
      <c r="CE849" s="5"/>
      <c r="CF849" s="5"/>
      <c r="CG849" s="5"/>
      <c r="CH849" s="5"/>
      <c r="CI849" s="5"/>
    </row>
    <row r="850" ht="14.25" customHeight="1">
      <c r="B850" s="1"/>
      <c r="D850" s="1"/>
      <c r="E850" s="33"/>
      <c r="F850" s="34"/>
      <c r="G850" s="5"/>
      <c r="H850" s="5"/>
      <c r="I850" s="5"/>
      <c r="J850" s="5"/>
      <c r="K850" s="5"/>
      <c r="L850" s="5"/>
      <c r="M850" s="32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  <c r="AG850" s="5"/>
      <c r="AH850" s="5"/>
      <c r="AI850" s="5"/>
      <c r="AJ850" s="5"/>
      <c r="AK850" s="5"/>
      <c r="AL850" s="5"/>
      <c r="AM850" s="5"/>
      <c r="AN850" s="5"/>
      <c r="AO850" s="5"/>
      <c r="AP850" s="5"/>
      <c r="AQ850" s="5"/>
      <c r="AR850" s="5"/>
      <c r="AS850" s="5"/>
      <c r="AT850" s="5"/>
      <c r="AU850" s="5"/>
      <c r="AV850" s="5"/>
      <c r="AW850" s="5"/>
      <c r="AX850" s="5"/>
      <c r="AY850" s="5"/>
      <c r="AZ850" s="5"/>
      <c r="BA850" s="5"/>
      <c r="BB850" s="5"/>
      <c r="BC850" s="5"/>
      <c r="BD850" s="5"/>
      <c r="BE850" s="5"/>
      <c r="BF850" s="5"/>
      <c r="BG850" s="5"/>
      <c r="BH850" s="5"/>
      <c r="BI850" s="5"/>
      <c r="BJ850" s="5"/>
      <c r="BK850" s="5"/>
      <c r="BL850" s="5"/>
      <c r="BM850" s="5"/>
      <c r="BN850" s="5"/>
      <c r="BO850" s="5"/>
      <c r="BP850" s="5"/>
      <c r="BQ850" s="5"/>
      <c r="BR850" s="5"/>
      <c r="BS850" s="5"/>
      <c r="BT850" s="5"/>
      <c r="BU850" s="5"/>
      <c r="BV850" s="5"/>
      <c r="BW850" s="5"/>
      <c r="BX850" s="5"/>
      <c r="BY850" s="5"/>
      <c r="BZ850" s="5"/>
      <c r="CA850" s="5"/>
      <c r="CB850" s="5"/>
      <c r="CC850" s="5"/>
      <c r="CD850" s="5"/>
      <c r="CE850" s="5"/>
      <c r="CF850" s="5"/>
      <c r="CG850" s="5"/>
      <c r="CH850" s="5"/>
      <c r="CI850" s="5"/>
    </row>
    <row r="851" ht="14.25" customHeight="1">
      <c r="B851" s="1"/>
      <c r="D851" s="1"/>
      <c r="E851" s="33"/>
      <c r="F851" s="34"/>
      <c r="G851" s="5"/>
      <c r="H851" s="5"/>
      <c r="I851" s="5"/>
      <c r="J851" s="5"/>
      <c r="K851" s="5"/>
      <c r="L851" s="5"/>
      <c r="M851" s="32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  <c r="AG851" s="5"/>
      <c r="AH851" s="5"/>
      <c r="AI851" s="5"/>
      <c r="AJ851" s="5"/>
      <c r="AK851" s="5"/>
      <c r="AL851" s="5"/>
      <c r="AM851" s="5"/>
      <c r="AN851" s="5"/>
      <c r="AO851" s="5"/>
      <c r="AP851" s="5"/>
      <c r="AQ851" s="5"/>
      <c r="AR851" s="5"/>
      <c r="AS851" s="5"/>
      <c r="AT851" s="5"/>
      <c r="AU851" s="5"/>
      <c r="AV851" s="5"/>
      <c r="AW851" s="5"/>
      <c r="AX851" s="5"/>
      <c r="AY851" s="5"/>
      <c r="AZ851" s="5"/>
      <c r="BA851" s="5"/>
      <c r="BB851" s="5"/>
      <c r="BC851" s="5"/>
      <c r="BD851" s="5"/>
      <c r="BE851" s="5"/>
      <c r="BF851" s="5"/>
      <c r="BG851" s="5"/>
      <c r="BH851" s="5"/>
      <c r="BI851" s="5"/>
      <c r="BJ851" s="5"/>
      <c r="BK851" s="5"/>
      <c r="BL851" s="5"/>
      <c r="BM851" s="5"/>
      <c r="BN851" s="5"/>
      <c r="BO851" s="5"/>
      <c r="BP851" s="5"/>
      <c r="BQ851" s="5"/>
      <c r="BR851" s="5"/>
      <c r="BS851" s="5"/>
      <c r="BT851" s="5"/>
      <c r="BU851" s="5"/>
      <c r="BV851" s="5"/>
      <c r="BW851" s="5"/>
      <c r="BX851" s="5"/>
      <c r="BY851" s="5"/>
      <c r="BZ851" s="5"/>
      <c r="CA851" s="5"/>
      <c r="CB851" s="5"/>
      <c r="CC851" s="5"/>
      <c r="CD851" s="5"/>
      <c r="CE851" s="5"/>
      <c r="CF851" s="5"/>
      <c r="CG851" s="5"/>
      <c r="CH851" s="5"/>
      <c r="CI851" s="5"/>
    </row>
    <row r="852" ht="14.25" customHeight="1">
      <c r="B852" s="1"/>
      <c r="D852" s="1"/>
      <c r="E852" s="33"/>
      <c r="F852" s="34"/>
      <c r="G852" s="5"/>
      <c r="H852" s="5"/>
      <c r="I852" s="5"/>
      <c r="J852" s="5"/>
      <c r="K852" s="5"/>
      <c r="L852" s="5"/>
      <c r="M852" s="32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  <c r="AE852" s="5"/>
      <c r="AF852" s="5"/>
      <c r="AG852" s="5"/>
      <c r="AH852" s="5"/>
      <c r="AI852" s="5"/>
      <c r="AJ852" s="5"/>
      <c r="AK852" s="5"/>
      <c r="AL852" s="5"/>
      <c r="AM852" s="5"/>
      <c r="AN852" s="5"/>
      <c r="AO852" s="5"/>
      <c r="AP852" s="5"/>
      <c r="AQ852" s="5"/>
      <c r="AR852" s="5"/>
      <c r="AS852" s="5"/>
      <c r="AT852" s="5"/>
      <c r="AU852" s="5"/>
      <c r="AV852" s="5"/>
      <c r="AW852" s="5"/>
      <c r="AX852" s="5"/>
      <c r="AY852" s="5"/>
      <c r="AZ852" s="5"/>
      <c r="BA852" s="5"/>
      <c r="BB852" s="5"/>
      <c r="BC852" s="5"/>
      <c r="BD852" s="5"/>
      <c r="BE852" s="5"/>
      <c r="BF852" s="5"/>
      <c r="BG852" s="5"/>
      <c r="BH852" s="5"/>
      <c r="BI852" s="5"/>
      <c r="BJ852" s="5"/>
      <c r="BK852" s="5"/>
      <c r="BL852" s="5"/>
      <c r="BM852" s="5"/>
      <c r="BN852" s="5"/>
      <c r="BO852" s="5"/>
      <c r="BP852" s="5"/>
      <c r="BQ852" s="5"/>
      <c r="BR852" s="5"/>
      <c r="BS852" s="5"/>
      <c r="BT852" s="5"/>
      <c r="BU852" s="5"/>
      <c r="BV852" s="5"/>
      <c r="BW852" s="5"/>
      <c r="BX852" s="5"/>
      <c r="BY852" s="5"/>
      <c r="BZ852" s="5"/>
      <c r="CA852" s="5"/>
      <c r="CB852" s="5"/>
      <c r="CC852" s="5"/>
      <c r="CD852" s="5"/>
      <c r="CE852" s="5"/>
      <c r="CF852" s="5"/>
      <c r="CG852" s="5"/>
      <c r="CH852" s="5"/>
      <c r="CI852" s="5"/>
    </row>
    <row r="853" ht="14.25" customHeight="1">
      <c r="B853" s="1"/>
      <c r="D853" s="1"/>
      <c r="E853" s="33"/>
      <c r="F853" s="34"/>
      <c r="G853" s="5"/>
      <c r="H853" s="5"/>
      <c r="I853" s="5"/>
      <c r="J853" s="5"/>
      <c r="K853" s="5"/>
      <c r="L853" s="5"/>
      <c r="M853" s="32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  <c r="AG853" s="5"/>
      <c r="AH853" s="5"/>
      <c r="AI853" s="5"/>
      <c r="AJ853" s="5"/>
      <c r="AK853" s="5"/>
      <c r="AL853" s="5"/>
      <c r="AM853" s="5"/>
      <c r="AN853" s="5"/>
      <c r="AO853" s="5"/>
      <c r="AP853" s="5"/>
      <c r="AQ853" s="5"/>
      <c r="AR853" s="5"/>
      <c r="AS853" s="5"/>
      <c r="AT853" s="5"/>
      <c r="AU853" s="5"/>
      <c r="AV853" s="5"/>
      <c r="AW853" s="5"/>
      <c r="AX853" s="5"/>
      <c r="AY853" s="5"/>
      <c r="AZ853" s="5"/>
      <c r="BA853" s="5"/>
      <c r="BB853" s="5"/>
      <c r="BC853" s="5"/>
      <c r="BD853" s="5"/>
      <c r="BE853" s="5"/>
      <c r="BF853" s="5"/>
      <c r="BG853" s="5"/>
      <c r="BH853" s="5"/>
      <c r="BI853" s="5"/>
      <c r="BJ853" s="5"/>
      <c r="BK853" s="5"/>
      <c r="BL853" s="5"/>
      <c r="BM853" s="5"/>
      <c r="BN853" s="5"/>
      <c r="BO853" s="5"/>
      <c r="BP853" s="5"/>
      <c r="BQ853" s="5"/>
      <c r="BR853" s="5"/>
      <c r="BS853" s="5"/>
      <c r="BT853" s="5"/>
      <c r="BU853" s="5"/>
      <c r="BV853" s="5"/>
      <c r="BW853" s="5"/>
      <c r="BX853" s="5"/>
      <c r="BY853" s="5"/>
      <c r="BZ853" s="5"/>
      <c r="CA853" s="5"/>
      <c r="CB853" s="5"/>
      <c r="CC853" s="5"/>
      <c r="CD853" s="5"/>
      <c r="CE853" s="5"/>
      <c r="CF853" s="5"/>
      <c r="CG853" s="5"/>
      <c r="CH853" s="5"/>
      <c r="CI853" s="5"/>
    </row>
    <row r="854" ht="14.25" customHeight="1">
      <c r="B854" s="1"/>
      <c r="D854" s="1"/>
      <c r="E854" s="33"/>
      <c r="F854" s="34"/>
      <c r="G854" s="5"/>
      <c r="H854" s="5"/>
      <c r="I854" s="5"/>
      <c r="J854" s="5"/>
      <c r="K854" s="5"/>
      <c r="L854" s="5"/>
      <c r="M854" s="32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  <c r="AE854" s="5"/>
      <c r="AF854" s="5"/>
      <c r="AG854" s="5"/>
      <c r="AH854" s="5"/>
      <c r="AI854" s="5"/>
      <c r="AJ854" s="5"/>
      <c r="AK854" s="5"/>
      <c r="AL854" s="5"/>
      <c r="AM854" s="5"/>
      <c r="AN854" s="5"/>
      <c r="AO854" s="5"/>
      <c r="AP854" s="5"/>
      <c r="AQ854" s="5"/>
      <c r="AR854" s="5"/>
      <c r="AS854" s="5"/>
      <c r="AT854" s="5"/>
      <c r="AU854" s="5"/>
      <c r="AV854" s="5"/>
      <c r="AW854" s="5"/>
      <c r="AX854" s="5"/>
      <c r="AY854" s="5"/>
      <c r="AZ854" s="5"/>
      <c r="BA854" s="5"/>
      <c r="BB854" s="5"/>
      <c r="BC854" s="5"/>
      <c r="BD854" s="5"/>
      <c r="BE854" s="5"/>
      <c r="BF854" s="5"/>
      <c r="BG854" s="5"/>
      <c r="BH854" s="5"/>
      <c r="BI854" s="5"/>
      <c r="BJ854" s="5"/>
      <c r="BK854" s="5"/>
      <c r="BL854" s="5"/>
      <c r="BM854" s="5"/>
      <c r="BN854" s="5"/>
      <c r="BO854" s="5"/>
      <c r="BP854" s="5"/>
      <c r="BQ854" s="5"/>
      <c r="BR854" s="5"/>
      <c r="BS854" s="5"/>
      <c r="BT854" s="5"/>
      <c r="BU854" s="5"/>
      <c r="BV854" s="5"/>
      <c r="BW854" s="5"/>
      <c r="BX854" s="5"/>
      <c r="BY854" s="5"/>
      <c r="BZ854" s="5"/>
      <c r="CA854" s="5"/>
      <c r="CB854" s="5"/>
      <c r="CC854" s="5"/>
      <c r="CD854" s="5"/>
      <c r="CE854" s="5"/>
      <c r="CF854" s="5"/>
      <c r="CG854" s="5"/>
      <c r="CH854" s="5"/>
      <c r="CI854" s="5"/>
    </row>
    <row r="855" ht="14.25" customHeight="1">
      <c r="B855" s="1"/>
      <c r="D855" s="1"/>
      <c r="E855" s="33"/>
      <c r="F855" s="34"/>
      <c r="G855" s="5"/>
      <c r="H855" s="5"/>
      <c r="I855" s="5"/>
      <c r="J855" s="5"/>
      <c r="K855" s="5"/>
      <c r="L855" s="5"/>
      <c r="M855" s="32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  <c r="AG855" s="5"/>
      <c r="AH855" s="5"/>
      <c r="AI855" s="5"/>
      <c r="AJ855" s="5"/>
      <c r="AK855" s="5"/>
      <c r="AL855" s="5"/>
      <c r="AM855" s="5"/>
      <c r="AN855" s="5"/>
      <c r="AO855" s="5"/>
      <c r="AP855" s="5"/>
      <c r="AQ855" s="5"/>
      <c r="AR855" s="5"/>
      <c r="AS855" s="5"/>
      <c r="AT855" s="5"/>
      <c r="AU855" s="5"/>
      <c r="AV855" s="5"/>
      <c r="AW855" s="5"/>
      <c r="AX855" s="5"/>
      <c r="AY855" s="5"/>
      <c r="AZ855" s="5"/>
      <c r="BA855" s="5"/>
      <c r="BB855" s="5"/>
      <c r="BC855" s="5"/>
      <c r="BD855" s="5"/>
      <c r="BE855" s="5"/>
      <c r="BF855" s="5"/>
      <c r="BG855" s="5"/>
      <c r="BH855" s="5"/>
      <c r="BI855" s="5"/>
      <c r="BJ855" s="5"/>
      <c r="BK855" s="5"/>
      <c r="BL855" s="5"/>
      <c r="BM855" s="5"/>
      <c r="BN855" s="5"/>
      <c r="BO855" s="5"/>
      <c r="BP855" s="5"/>
      <c r="BQ855" s="5"/>
      <c r="BR855" s="5"/>
      <c r="BS855" s="5"/>
      <c r="BT855" s="5"/>
      <c r="BU855" s="5"/>
      <c r="BV855" s="5"/>
      <c r="BW855" s="5"/>
      <c r="BX855" s="5"/>
      <c r="BY855" s="5"/>
      <c r="BZ855" s="5"/>
      <c r="CA855" s="5"/>
      <c r="CB855" s="5"/>
      <c r="CC855" s="5"/>
      <c r="CD855" s="5"/>
      <c r="CE855" s="5"/>
      <c r="CF855" s="5"/>
      <c r="CG855" s="5"/>
      <c r="CH855" s="5"/>
      <c r="CI855" s="5"/>
    </row>
    <row r="856" ht="14.25" customHeight="1">
      <c r="B856" s="1"/>
      <c r="D856" s="1"/>
      <c r="E856" s="33"/>
      <c r="F856" s="34"/>
      <c r="G856" s="5"/>
      <c r="H856" s="5"/>
      <c r="I856" s="5"/>
      <c r="J856" s="5"/>
      <c r="K856" s="5"/>
      <c r="L856" s="5"/>
      <c r="M856" s="32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  <c r="AG856" s="5"/>
      <c r="AH856" s="5"/>
      <c r="AI856" s="5"/>
      <c r="AJ856" s="5"/>
      <c r="AK856" s="5"/>
      <c r="AL856" s="5"/>
      <c r="AM856" s="5"/>
      <c r="AN856" s="5"/>
      <c r="AO856" s="5"/>
      <c r="AP856" s="5"/>
      <c r="AQ856" s="5"/>
      <c r="AR856" s="5"/>
      <c r="AS856" s="5"/>
      <c r="AT856" s="5"/>
      <c r="AU856" s="5"/>
      <c r="AV856" s="5"/>
      <c r="AW856" s="5"/>
      <c r="AX856" s="5"/>
      <c r="AY856" s="5"/>
      <c r="AZ856" s="5"/>
      <c r="BA856" s="5"/>
      <c r="BB856" s="5"/>
      <c r="BC856" s="5"/>
      <c r="BD856" s="5"/>
      <c r="BE856" s="5"/>
      <c r="BF856" s="5"/>
      <c r="BG856" s="5"/>
      <c r="BH856" s="5"/>
      <c r="BI856" s="5"/>
      <c r="BJ856" s="5"/>
      <c r="BK856" s="5"/>
      <c r="BL856" s="5"/>
      <c r="BM856" s="5"/>
      <c r="BN856" s="5"/>
      <c r="BO856" s="5"/>
      <c r="BP856" s="5"/>
      <c r="BQ856" s="5"/>
      <c r="BR856" s="5"/>
      <c r="BS856" s="5"/>
      <c r="BT856" s="5"/>
      <c r="BU856" s="5"/>
      <c r="BV856" s="5"/>
      <c r="BW856" s="5"/>
      <c r="BX856" s="5"/>
      <c r="BY856" s="5"/>
      <c r="BZ856" s="5"/>
      <c r="CA856" s="5"/>
      <c r="CB856" s="5"/>
      <c r="CC856" s="5"/>
      <c r="CD856" s="5"/>
      <c r="CE856" s="5"/>
      <c r="CF856" s="5"/>
      <c r="CG856" s="5"/>
      <c r="CH856" s="5"/>
      <c r="CI856" s="5"/>
    </row>
    <row r="857" ht="14.25" customHeight="1">
      <c r="B857" s="1"/>
      <c r="D857" s="1"/>
      <c r="E857" s="33"/>
      <c r="F857" s="34"/>
      <c r="G857" s="5"/>
      <c r="H857" s="5"/>
      <c r="I857" s="5"/>
      <c r="J857" s="5"/>
      <c r="K857" s="5"/>
      <c r="L857" s="5"/>
      <c r="M857" s="32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  <c r="AE857" s="5"/>
      <c r="AF857" s="5"/>
      <c r="AG857" s="5"/>
      <c r="AH857" s="5"/>
      <c r="AI857" s="5"/>
      <c r="AJ857" s="5"/>
      <c r="AK857" s="5"/>
      <c r="AL857" s="5"/>
      <c r="AM857" s="5"/>
      <c r="AN857" s="5"/>
      <c r="AO857" s="5"/>
      <c r="AP857" s="5"/>
      <c r="AQ857" s="5"/>
      <c r="AR857" s="5"/>
      <c r="AS857" s="5"/>
      <c r="AT857" s="5"/>
      <c r="AU857" s="5"/>
      <c r="AV857" s="5"/>
      <c r="AW857" s="5"/>
      <c r="AX857" s="5"/>
      <c r="AY857" s="5"/>
      <c r="AZ857" s="5"/>
      <c r="BA857" s="5"/>
      <c r="BB857" s="5"/>
      <c r="BC857" s="5"/>
      <c r="BD857" s="5"/>
      <c r="BE857" s="5"/>
      <c r="BF857" s="5"/>
      <c r="BG857" s="5"/>
      <c r="BH857" s="5"/>
      <c r="BI857" s="5"/>
      <c r="BJ857" s="5"/>
      <c r="BK857" s="5"/>
      <c r="BL857" s="5"/>
      <c r="BM857" s="5"/>
      <c r="BN857" s="5"/>
      <c r="BO857" s="5"/>
      <c r="BP857" s="5"/>
      <c r="BQ857" s="5"/>
      <c r="BR857" s="5"/>
      <c r="BS857" s="5"/>
      <c r="BT857" s="5"/>
      <c r="BU857" s="5"/>
      <c r="BV857" s="5"/>
      <c r="BW857" s="5"/>
      <c r="BX857" s="5"/>
      <c r="BY857" s="5"/>
      <c r="BZ857" s="5"/>
      <c r="CA857" s="5"/>
      <c r="CB857" s="5"/>
      <c r="CC857" s="5"/>
      <c r="CD857" s="5"/>
      <c r="CE857" s="5"/>
      <c r="CF857" s="5"/>
      <c r="CG857" s="5"/>
      <c r="CH857" s="5"/>
      <c r="CI857" s="5"/>
    </row>
    <row r="858" ht="14.25" customHeight="1">
      <c r="B858" s="1"/>
      <c r="D858" s="1"/>
      <c r="E858" s="33"/>
      <c r="F858" s="34"/>
      <c r="G858" s="5"/>
      <c r="H858" s="5"/>
      <c r="I858" s="5"/>
      <c r="J858" s="5"/>
      <c r="K858" s="5"/>
      <c r="L858" s="5"/>
      <c r="M858" s="32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  <c r="AG858" s="5"/>
      <c r="AH858" s="5"/>
      <c r="AI858" s="5"/>
      <c r="AJ858" s="5"/>
      <c r="AK858" s="5"/>
      <c r="AL858" s="5"/>
      <c r="AM858" s="5"/>
      <c r="AN858" s="5"/>
      <c r="AO858" s="5"/>
      <c r="AP858" s="5"/>
      <c r="AQ858" s="5"/>
      <c r="AR858" s="5"/>
      <c r="AS858" s="5"/>
      <c r="AT858" s="5"/>
      <c r="AU858" s="5"/>
      <c r="AV858" s="5"/>
      <c r="AW858" s="5"/>
      <c r="AX858" s="5"/>
      <c r="AY858" s="5"/>
      <c r="AZ858" s="5"/>
      <c r="BA858" s="5"/>
      <c r="BB858" s="5"/>
      <c r="BC858" s="5"/>
      <c r="BD858" s="5"/>
      <c r="BE858" s="5"/>
      <c r="BF858" s="5"/>
      <c r="BG858" s="5"/>
      <c r="BH858" s="5"/>
      <c r="BI858" s="5"/>
      <c r="BJ858" s="5"/>
      <c r="BK858" s="5"/>
      <c r="BL858" s="5"/>
      <c r="BM858" s="5"/>
      <c r="BN858" s="5"/>
      <c r="BO858" s="5"/>
      <c r="BP858" s="5"/>
      <c r="BQ858" s="5"/>
      <c r="BR858" s="5"/>
      <c r="BS858" s="5"/>
      <c r="BT858" s="5"/>
      <c r="BU858" s="5"/>
      <c r="BV858" s="5"/>
      <c r="BW858" s="5"/>
      <c r="BX858" s="5"/>
      <c r="BY858" s="5"/>
      <c r="BZ858" s="5"/>
      <c r="CA858" s="5"/>
      <c r="CB858" s="5"/>
      <c r="CC858" s="5"/>
      <c r="CD858" s="5"/>
      <c r="CE858" s="5"/>
      <c r="CF858" s="5"/>
      <c r="CG858" s="5"/>
      <c r="CH858" s="5"/>
      <c r="CI858" s="5"/>
    </row>
    <row r="859" ht="14.25" customHeight="1">
      <c r="B859" s="1"/>
      <c r="D859" s="1"/>
      <c r="E859" s="33"/>
      <c r="F859" s="34"/>
      <c r="G859" s="5"/>
      <c r="H859" s="5"/>
      <c r="I859" s="5"/>
      <c r="J859" s="5"/>
      <c r="K859" s="5"/>
      <c r="L859" s="5"/>
      <c r="M859" s="32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  <c r="AG859" s="5"/>
      <c r="AH859" s="5"/>
      <c r="AI859" s="5"/>
      <c r="AJ859" s="5"/>
      <c r="AK859" s="5"/>
      <c r="AL859" s="5"/>
      <c r="AM859" s="5"/>
      <c r="AN859" s="5"/>
      <c r="AO859" s="5"/>
      <c r="AP859" s="5"/>
      <c r="AQ859" s="5"/>
      <c r="AR859" s="5"/>
      <c r="AS859" s="5"/>
      <c r="AT859" s="5"/>
      <c r="AU859" s="5"/>
      <c r="AV859" s="5"/>
      <c r="AW859" s="5"/>
      <c r="AX859" s="5"/>
      <c r="AY859" s="5"/>
      <c r="AZ859" s="5"/>
      <c r="BA859" s="5"/>
      <c r="BB859" s="5"/>
      <c r="BC859" s="5"/>
      <c r="BD859" s="5"/>
      <c r="BE859" s="5"/>
      <c r="BF859" s="5"/>
      <c r="BG859" s="5"/>
      <c r="BH859" s="5"/>
      <c r="BI859" s="5"/>
      <c r="BJ859" s="5"/>
      <c r="BK859" s="5"/>
      <c r="BL859" s="5"/>
      <c r="BM859" s="5"/>
      <c r="BN859" s="5"/>
      <c r="BO859" s="5"/>
      <c r="BP859" s="5"/>
      <c r="BQ859" s="5"/>
      <c r="BR859" s="5"/>
      <c r="BS859" s="5"/>
      <c r="BT859" s="5"/>
      <c r="BU859" s="5"/>
      <c r="BV859" s="5"/>
      <c r="BW859" s="5"/>
      <c r="BX859" s="5"/>
      <c r="BY859" s="5"/>
      <c r="BZ859" s="5"/>
      <c r="CA859" s="5"/>
      <c r="CB859" s="5"/>
      <c r="CC859" s="5"/>
      <c r="CD859" s="5"/>
      <c r="CE859" s="5"/>
      <c r="CF859" s="5"/>
      <c r="CG859" s="5"/>
      <c r="CH859" s="5"/>
      <c r="CI859" s="5"/>
    </row>
    <row r="860" ht="14.25" customHeight="1">
      <c r="B860" s="1"/>
      <c r="D860" s="1"/>
      <c r="E860" s="33"/>
      <c r="F860" s="34"/>
      <c r="G860" s="5"/>
      <c r="H860" s="5"/>
      <c r="I860" s="5"/>
      <c r="J860" s="5"/>
      <c r="K860" s="5"/>
      <c r="L860" s="5"/>
      <c r="M860" s="32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  <c r="AE860" s="5"/>
      <c r="AF860" s="5"/>
      <c r="AG860" s="5"/>
      <c r="AH860" s="5"/>
      <c r="AI860" s="5"/>
      <c r="AJ860" s="5"/>
      <c r="AK860" s="5"/>
      <c r="AL860" s="5"/>
      <c r="AM860" s="5"/>
      <c r="AN860" s="5"/>
      <c r="AO860" s="5"/>
      <c r="AP860" s="5"/>
      <c r="AQ860" s="5"/>
      <c r="AR860" s="5"/>
      <c r="AS860" s="5"/>
      <c r="AT860" s="5"/>
      <c r="AU860" s="5"/>
      <c r="AV860" s="5"/>
      <c r="AW860" s="5"/>
      <c r="AX860" s="5"/>
      <c r="AY860" s="5"/>
      <c r="AZ860" s="5"/>
      <c r="BA860" s="5"/>
      <c r="BB860" s="5"/>
      <c r="BC860" s="5"/>
      <c r="BD860" s="5"/>
      <c r="BE860" s="5"/>
      <c r="BF860" s="5"/>
      <c r="BG860" s="5"/>
      <c r="BH860" s="5"/>
      <c r="BI860" s="5"/>
      <c r="BJ860" s="5"/>
      <c r="BK860" s="5"/>
      <c r="BL860" s="5"/>
      <c r="BM860" s="5"/>
      <c r="BN860" s="5"/>
      <c r="BO860" s="5"/>
      <c r="BP860" s="5"/>
      <c r="BQ860" s="5"/>
      <c r="BR860" s="5"/>
      <c r="BS860" s="5"/>
      <c r="BT860" s="5"/>
      <c r="BU860" s="5"/>
      <c r="BV860" s="5"/>
      <c r="BW860" s="5"/>
      <c r="BX860" s="5"/>
      <c r="BY860" s="5"/>
      <c r="BZ860" s="5"/>
      <c r="CA860" s="5"/>
      <c r="CB860" s="5"/>
      <c r="CC860" s="5"/>
      <c r="CD860" s="5"/>
      <c r="CE860" s="5"/>
      <c r="CF860" s="5"/>
      <c r="CG860" s="5"/>
      <c r="CH860" s="5"/>
      <c r="CI860" s="5"/>
    </row>
    <row r="861" ht="14.25" customHeight="1">
      <c r="B861" s="1"/>
      <c r="D861" s="1"/>
      <c r="E861" s="33"/>
      <c r="F861" s="34"/>
      <c r="G861" s="5"/>
      <c r="H861" s="5"/>
      <c r="I861" s="5"/>
      <c r="J861" s="5"/>
      <c r="K861" s="5"/>
      <c r="L861" s="5"/>
      <c r="M861" s="32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  <c r="AE861" s="5"/>
      <c r="AF861" s="5"/>
      <c r="AG861" s="5"/>
      <c r="AH861" s="5"/>
      <c r="AI861" s="5"/>
      <c r="AJ861" s="5"/>
      <c r="AK861" s="5"/>
      <c r="AL861" s="5"/>
      <c r="AM861" s="5"/>
      <c r="AN861" s="5"/>
      <c r="AO861" s="5"/>
      <c r="AP861" s="5"/>
      <c r="AQ861" s="5"/>
      <c r="AR861" s="5"/>
      <c r="AS861" s="5"/>
      <c r="AT861" s="5"/>
      <c r="AU861" s="5"/>
      <c r="AV861" s="5"/>
      <c r="AW861" s="5"/>
      <c r="AX861" s="5"/>
      <c r="AY861" s="5"/>
      <c r="AZ861" s="5"/>
      <c r="BA861" s="5"/>
      <c r="BB861" s="5"/>
      <c r="BC861" s="5"/>
      <c r="BD861" s="5"/>
      <c r="BE861" s="5"/>
      <c r="BF861" s="5"/>
      <c r="BG861" s="5"/>
      <c r="BH861" s="5"/>
      <c r="BI861" s="5"/>
      <c r="BJ861" s="5"/>
      <c r="BK861" s="5"/>
      <c r="BL861" s="5"/>
      <c r="BM861" s="5"/>
      <c r="BN861" s="5"/>
      <c r="BO861" s="5"/>
      <c r="BP861" s="5"/>
      <c r="BQ861" s="5"/>
      <c r="BR861" s="5"/>
      <c r="BS861" s="5"/>
      <c r="BT861" s="5"/>
      <c r="BU861" s="5"/>
      <c r="BV861" s="5"/>
      <c r="BW861" s="5"/>
      <c r="BX861" s="5"/>
      <c r="BY861" s="5"/>
      <c r="BZ861" s="5"/>
      <c r="CA861" s="5"/>
      <c r="CB861" s="5"/>
      <c r="CC861" s="5"/>
      <c r="CD861" s="5"/>
      <c r="CE861" s="5"/>
      <c r="CF861" s="5"/>
      <c r="CG861" s="5"/>
      <c r="CH861" s="5"/>
      <c r="CI861" s="5"/>
    </row>
    <row r="862" ht="14.25" customHeight="1">
      <c r="B862" s="1"/>
      <c r="D862" s="1"/>
      <c r="E862" s="33"/>
      <c r="F862" s="34"/>
      <c r="G862" s="5"/>
      <c r="H862" s="5"/>
      <c r="I862" s="5"/>
      <c r="J862" s="5"/>
      <c r="K862" s="5"/>
      <c r="L862" s="5"/>
      <c r="M862" s="32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  <c r="AG862" s="5"/>
      <c r="AH862" s="5"/>
      <c r="AI862" s="5"/>
      <c r="AJ862" s="5"/>
      <c r="AK862" s="5"/>
      <c r="AL862" s="5"/>
      <c r="AM862" s="5"/>
      <c r="AN862" s="5"/>
      <c r="AO862" s="5"/>
      <c r="AP862" s="5"/>
      <c r="AQ862" s="5"/>
      <c r="AR862" s="5"/>
      <c r="AS862" s="5"/>
      <c r="AT862" s="5"/>
      <c r="AU862" s="5"/>
      <c r="AV862" s="5"/>
      <c r="AW862" s="5"/>
      <c r="AX862" s="5"/>
      <c r="AY862" s="5"/>
      <c r="AZ862" s="5"/>
      <c r="BA862" s="5"/>
      <c r="BB862" s="5"/>
      <c r="BC862" s="5"/>
      <c r="BD862" s="5"/>
      <c r="BE862" s="5"/>
      <c r="BF862" s="5"/>
      <c r="BG862" s="5"/>
      <c r="BH862" s="5"/>
      <c r="BI862" s="5"/>
      <c r="BJ862" s="5"/>
      <c r="BK862" s="5"/>
      <c r="BL862" s="5"/>
      <c r="BM862" s="5"/>
      <c r="BN862" s="5"/>
      <c r="BO862" s="5"/>
      <c r="BP862" s="5"/>
      <c r="BQ862" s="5"/>
      <c r="BR862" s="5"/>
      <c r="BS862" s="5"/>
      <c r="BT862" s="5"/>
      <c r="BU862" s="5"/>
      <c r="BV862" s="5"/>
      <c r="BW862" s="5"/>
      <c r="BX862" s="5"/>
      <c r="BY862" s="5"/>
      <c r="BZ862" s="5"/>
      <c r="CA862" s="5"/>
      <c r="CB862" s="5"/>
      <c r="CC862" s="5"/>
      <c r="CD862" s="5"/>
      <c r="CE862" s="5"/>
      <c r="CF862" s="5"/>
      <c r="CG862" s="5"/>
      <c r="CH862" s="5"/>
      <c r="CI862" s="5"/>
    </row>
    <row r="863" ht="14.25" customHeight="1">
      <c r="B863" s="1"/>
      <c r="D863" s="1"/>
      <c r="E863" s="33"/>
      <c r="F863" s="34"/>
      <c r="G863" s="5"/>
      <c r="H863" s="5"/>
      <c r="I863" s="5"/>
      <c r="J863" s="5"/>
      <c r="K863" s="5"/>
      <c r="L863" s="5"/>
      <c r="M863" s="32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  <c r="AG863" s="5"/>
      <c r="AH863" s="5"/>
      <c r="AI863" s="5"/>
      <c r="AJ863" s="5"/>
      <c r="AK863" s="5"/>
      <c r="AL863" s="5"/>
      <c r="AM863" s="5"/>
      <c r="AN863" s="5"/>
      <c r="AO863" s="5"/>
      <c r="AP863" s="5"/>
      <c r="AQ863" s="5"/>
      <c r="AR863" s="5"/>
      <c r="AS863" s="5"/>
      <c r="AT863" s="5"/>
      <c r="AU863" s="5"/>
      <c r="AV863" s="5"/>
      <c r="AW863" s="5"/>
      <c r="AX863" s="5"/>
      <c r="AY863" s="5"/>
      <c r="AZ863" s="5"/>
      <c r="BA863" s="5"/>
      <c r="BB863" s="5"/>
      <c r="BC863" s="5"/>
      <c r="BD863" s="5"/>
      <c r="BE863" s="5"/>
      <c r="BF863" s="5"/>
      <c r="BG863" s="5"/>
      <c r="BH863" s="5"/>
      <c r="BI863" s="5"/>
      <c r="BJ863" s="5"/>
      <c r="BK863" s="5"/>
      <c r="BL863" s="5"/>
      <c r="BM863" s="5"/>
      <c r="BN863" s="5"/>
      <c r="BO863" s="5"/>
      <c r="BP863" s="5"/>
      <c r="BQ863" s="5"/>
      <c r="BR863" s="5"/>
      <c r="BS863" s="5"/>
      <c r="BT863" s="5"/>
      <c r="BU863" s="5"/>
      <c r="BV863" s="5"/>
      <c r="BW863" s="5"/>
      <c r="BX863" s="5"/>
      <c r="BY863" s="5"/>
      <c r="BZ863" s="5"/>
      <c r="CA863" s="5"/>
      <c r="CB863" s="5"/>
      <c r="CC863" s="5"/>
      <c r="CD863" s="5"/>
      <c r="CE863" s="5"/>
      <c r="CF863" s="5"/>
      <c r="CG863" s="5"/>
      <c r="CH863" s="5"/>
      <c r="CI863" s="5"/>
    </row>
    <row r="864" ht="14.25" customHeight="1">
      <c r="B864" s="1"/>
      <c r="D864" s="1"/>
      <c r="E864" s="33"/>
      <c r="F864" s="34"/>
      <c r="G864" s="5"/>
      <c r="H864" s="5"/>
      <c r="I864" s="5"/>
      <c r="J864" s="5"/>
      <c r="K864" s="5"/>
      <c r="L864" s="5"/>
      <c r="M864" s="32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  <c r="AE864" s="5"/>
      <c r="AF864" s="5"/>
      <c r="AG864" s="5"/>
      <c r="AH864" s="5"/>
      <c r="AI864" s="5"/>
      <c r="AJ864" s="5"/>
      <c r="AK864" s="5"/>
      <c r="AL864" s="5"/>
      <c r="AM864" s="5"/>
      <c r="AN864" s="5"/>
      <c r="AO864" s="5"/>
      <c r="AP864" s="5"/>
      <c r="AQ864" s="5"/>
      <c r="AR864" s="5"/>
      <c r="AS864" s="5"/>
      <c r="AT864" s="5"/>
      <c r="AU864" s="5"/>
      <c r="AV864" s="5"/>
      <c r="AW864" s="5"/>
      <c r="AX864" s="5"/>
      <c r="AY864" s="5"/>
      <c r="AZ864" s="5"/>
      <c r="BA864" s="5"/>
      <c r="BB864" s="5"/>
      <c r="BC864" s="5"/>
      <c r="BD864" s="5"/>
      <c r="BE864" s="5"/>
      <c r="BF864" s="5"/>
      <c r="BG864" s="5"/>
      <c r="BH864" s="5"/>
      <c r="BI864" s="5"/>
      <c r="BJ864" s="5"/>
      <c r="BK864" s="5"/>
      <c r="BL864" s="5"/>
      <c r="BM864" s="5"/>
      <c r="BN864" s="5"/>
      <c r="BO864" s="5"/>
      <c r="BP864" s="5"/>
      <c r="BQ864" s="5"/>
      <c r="BR864" s="5"/>
      <c r="BS864" s="5"/>
      <c r="BT864" s="5"/>
      <c r="BU864" s="5"/>
      <c r="BV864" s="5"/>
      <c r="BW864" s="5"/>
      <c r="BX864" s="5"/>
      <c r="BY864" s="5"/>
      <c r="BZ864" s="5"/>
      <c r="CA864" s="5"/>
      <c r="CB864" s="5"/>
      <c r="CC864" s="5"/>
      <c r="CD864" s="5"/>
      <c r="CE864" s="5"/>
      <c r="CF864" s="5"/>
      <c r="CG864" s="5"/>
      <c r="CH864" s="5"/>
      <c r="CI864" s="5"/>
    </row>
    <row r="865" ht="14.25" customHeight="1">
      <c r="B865" s="1"/>
      <c r="D865" s="1"/>
      <c r="E865" s="33"/>
      <c r="F865" s="34"/>
      <c r="G865" s="5"/>
      <c r="H865" s="5"/>
      <c r="I865" s="5"/>
      <c r="J865" s="5"/>
      <c r="K865" s="5"/>
      <c r="L865" s="5"/>
      <c r="M865" s="32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  <c r="AG865" s="5"/>
      <c r="AH865" s="5"/>
      <c r="AI865" s="5"/>
      <c r="AJ865" s="5"/>
      <c r="AK865" s="5"/>
      <c r="AL865" s="5"/>
      <c r="AM865" s="5"/>
      <c r="AN865" s="5"/>
      <c r="AO865" s="5"/>
      <c r="AP865" s="5"/>
      <c r="AQ865" s="5"/>
      <c r="AR865" s="5"/>
      <c r="AS865" s="5"/>
      <c r="AT865" s="5"/>
      <c r="AU865" s="5"/>
      <c r="AV865" s="5"/>
      <c r="AW865" s="5"/>
      <c r="AX865" s="5"/>
      <c r="AY865" s="5"/>
      <c r="AZ865" s="5"/>
      <c r="BA865" s="5"/>
      <c r="BB865" s="5"/>
      <c r="BC865" s="5"/>
      <c r="BD865" s="5"/>
      <c r="BE865" s="5"/>
      <c r="BF865" s="5"/>
      <c r="BG865" s="5"/>
      <c r="BH865" s="5"/>
      <c r="BI865" s="5"/>
      <c r="BJ865" s="5"/>
      <c r="BK865" s="5"/>
      <c r="BL865" s="5"/>
      <c r="BM865" s="5"/>
      <c r="BN865" s="5"/>
      <c r="BO865" s="5"/>
      <c r="BP865" s="5"/>
      <c r="BQ865" s="5"/>
      <c r="BR865" s="5"/>
      <c r="BS865" s="5"/>
      <c r="BT865" s="5"/>
      <c r="BU865" s="5"/>
      <c r="BV865" s="5"/>
      <c r="BW865" s="5"/>
      <c r="BX865" s="5"/>
      <c r="BY865" s="5"/>
      <c r="BZ865" s="5"/>
      <c r="CA865" s="5"/>
      <c r="CB865" s="5"/>
      <c r="CC865" s="5"/>
      <c r="CD865" s="5"/>
      <c r="CE865" s="5"/>
      <c r="CF865" s="5"/>
      <c r="CG865" s="5"/>
      <c r="CH865" s="5"/>
      <c r="CI865" s="5"/>
    </row>
    <row r="866" ht="14.25" customHeight="1">
      <c r="B866" s="1"/>
      <c r="D866" s="1"/>
      <c r="E866" s="33"/>
      <c r="F866" s="34"/>
      <c r="G866" s="5"/>
      <c r="H866" s="5"/>
      <c r="I866" s="5"/>
      <c r="J866" s="5"/>
      <c r="K866" s="5"/>
      <c r="L866" s="5"/>
      <c r="M866" s="32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  <c r="AE866" s="5"/>
      <c r="AF866" s="5"/>
      <c r="AG866" s="5"/>
      <c r="AH866" s="5"/>
      <c r="AI866" s="5"/>
      <c r="AJ866" s="5"/>
      <c r="AK866" s="5"/>
      <c r="AL866" s="5"/>
      <c r="AM866" s="5"/>
      <c r="AN866" s="5"/>
      <c r="AO866" s="5"/>
      <c r="AP866" s="5"/>
      <c r="AQ866" s="5"/>
      <c r="AR866" s="5"/>
      <c r="AS866" s="5"/>
      <c r="AT866" s="5"/>
      <c r="AU866" s="5"/>
      <c r="AV866" s="5"/>
      <c r="AW866" s="5"/>
      <c r="AX866" s="5"/>
      <c r="AY866" s="5"/>
      <c r="AZ866" s="5"/>
      <c r="BA866" s="5"/>
      <c r="BB866" s="5"/>
      <c r="BC866" s="5"/>
      <c r="BD866" s="5"/>
      <c r="BE866" s="5"/>
      <c r="BF866" s="5"/>
      <c r="BG866" s="5"/>
      <c r="BH866" s="5"/>
      <c r="BI866" s="5"/>
      <c r="BJ866" s="5"/>
      <c r="BK866" s="5"/>
      <c r="BL866" s="5"/>
      <c r="BM866" s="5"/>
      <c r="BN866" s="5"/>
      <c r="BO866" s="5"/>
      <c r="BP866" s="5"/>
      <c r="BQ866" s="5"/>
      <c r="BR866" s="5"/>
      <c r="BS866" s="5"/>
      <c r="BT866" s="5"/>
      <c r="BU866" s="5"/>
      <c r="BV866" s="5"/>
      <c r="BW866" s="5"/>
      <c r="BX866" s="5"/>
      <c r="BY866" s="5"/>
      <c r="BZ866" s="5"/>
      <c r="CA866" s="5"/>
      <c r="CB866" s="5"/>
      <c r="CC866" s="5"/>
      <c r="CD866" s="5"/>
      <c r="CE866" s="5"/>
      <c r="CF866" s="5"/>
      <c r="CG866" s="5"/>
      <c r="CH866" s="5"/>
      <c r="CI866" s="5"/>
    </row>
    <row r="867" ht="14.25" customHeight="1">
      <c r="B867" s="1"/>
      <c r="D867" s="1"/>
      <c r="E867" s="33"/>
      <c r="F867" s="34"/>
      <c r="G867" s="5"/>
      <c r="H867" s="5"/>
      <c r="I867" s="5"/>
      <c r="J867" s="5"/>
      <c r="K867" s="5"/>
      <c r="L867" s="5"/>
      <c r="M867" s="32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  <c r="AG867" s="5"/>
      <c r="AH867" s="5"/>
      <c r="AI867" s="5"/>
      <c r="AJ867" s="5"/>
      <c r="AK867" s="5"/>
      <c r="AL867" s="5"/>
      <c r="AM867" s="5"/>
      <c r="AN867" s="5"/>
      <c r="AO867" s="5"/>
      <c r="AP867" s="5"/>
      <c r="AQ867" s="5"/>
      <c r="AR867" s="5"/>
      <c r="AS867" s="5"/>
      <c r="AT867" s="5"/>
      <c r="AU867" s="5"/>
      <c r="AV867" s="5"/>
      <c r="AW867" s="5"/>
      <c r="AX867" s="5"/>
      <c r="AY867" s="5"/>
      <c r="AZ867" s="5"/>
      <c r="BA867" s="5"/>
      <c r="BB867" s="5"/>
      <c r="BC867" s="5"/>
      <c r="BD867" s="5"/>
      <c r="BE867" s="5"/>
      <c r="BF867" s="5"/>
      <c r="BG867" s="5"/>
      <c r="BH867" s="5"/>
      <c r="BI867" s="5"/>
      <c r="BJ867" s="5"/>
      <c r="BK867" s="5"/>
      <c r="BL867" s="5"/>
      <c r="BM867" s="5"/>
      <c r="BN867" s="5"/>
      <c r="BO867" s="5"/>
      <c r="BP867" s="5"/>
      <c r="BQ867" s="5"/>
      <c r="BR867" s="5"/>
      <c r="BS867" s="5"/>
      <c r="BT867" s="5"/>
      <c r="BU867" s="5"/>
      <c r="BV867" s="5"/>
      <c r="BW867" s="5"/>
      <c r="BX867" s="5"/>
      <c r="BY867" s="5"/>
      <c r="BZ867" s="5"/>
      <c r="CA867" s="5"/>
      <c r="CB867" s="5"/>
      <c r="CC867" s="5"/>
      <c r="CD867" s="5"/>
      <c r="CE867" s="5"/>
      <c r="CF867" s="5"/>
      <c r="CG867" s="5"/>
      <c r="CH867" s="5"/>
      <c r="CI867" s="5"/>
    </row>
    <row r="868" ht="14.25" customHeight="1">
      <c r="B868" s="1"/>
      <c r="D868" s="1"/>
      <c r="E868" s="33"/>
      <c r="F868" s="34"/>
      <c r="G868" s="5"/>
      <c r="H868" s="5"/>
      <c r="I868" s="5"/>
      <c r="J868" s="5"/>
      <c r="K868" s="5"/>
      <c r="L868" s="5"/>
      <c r="M868" s="32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5"/>
      <c r="AH868" s="5"/>
      <c r="AI868" s="5"/>
      <c r="AJ868" s="5"/>
      <c r="AK868" s="5"/>
      <c r="AL868" s="5"/>
      <c r="AM868" s="5"/>
      <c r="AN868" s="5"/>
      <c r="AO868" s="5"/>
      <c r="AP868" s="5"/>
      <c r="AQ868" s="5"/>
      <c r="AR868" s="5"/>
      <c r="AS868" s="5"/>
      <c r="AT868" s="5"/>
      <c r="AU868" s="5"/>
      <c r="AV868" s="5"/>
      <c r="AW868" s="5"/>
      <c r="AX868" s="5"/>
      <c r="AY868" s="5"/>
      <c r="AZ868" s="5"/>
      <c r="BA868" s="5"/>
      <c r="BB868" s="5"/>
      <c r="BC868" s="5"/>
      <c r="BD868" s="5"/>
      <c r="BE868" s="5"/>
      <c r="BF868" s="5"/>
      <c r="BG868" s="5"/>
      <c r="BH868" s="5"/>
      <c r="BI868" s="5"/>
      <c r="BJ868" s="5"/>
      <c r="BK868" s="5"/>
      <c r="BL868" s="5"/>
      <c r="BM868" s="5"/>
      <c r="BN868" s="5"/>
      <c r="BO868" s="5"/>
      <c r="BP868" s="5"/>
      <c r="BQ868" s="5"/>
      <c r="BR868" s="5"/>
      <c r="BS868" s="5"/>
      <c r="BT868" s="5"/>
      <c r="BU868" s="5"/>
      <c r="BV868" s="5"/>
      <c r="BW868" s="5"/>
      <c r="BX868" s="5"/>
      <c r="BY868" s="5"/>
      <c r="BZ868" s="5"/>
      <c r="CA868" s="5"/>
      <c r="CB868" s="5"/>
      <c r="CC868" s="5"/>
      <c r="CD868" s="5"/>
      <c r="CE868" s="5"/>
      <c r="CF868" s="5"/>
      <c r="CG868" s="5"/>
      <c r="CH868" s="5"/>
      <c r="CI868" s="5"/>
    </row>
    <row r="869" ht="14.25" customHeight="1">
      <c r="B869" s="1"/>
      <c r="D869" s="1"/>
      <c r="E869" s="33"/>
      <c r="F869" s="34"/>
      <c r="G869" s="5"/>
      <c r="H869" s="5"/>
      <c r="I869" s="5"/>
      <c r="J869" s="5"/>
      <c r="K869" s="5"/>
      <c r="L869" s="5"/>
      <c r="M869" s="32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  <c r="AG869" s="5"/>
      <c r="AH869" s="5"/>
      <c r="AI869" s="5"/>
      <c r="AJ869" s="5"/>
      <c r="AK869" s="5"/>
      <c r="AL869" s="5"/>
      <c r="AM869" s="5"/>
      <c r="AN869" s="5"/>
      <c r="AO869" s="5"/>
      <c r="AP869" s="5"/>
      <c r="AQ869" s="5"/>
      <c r="AR869" s="5"/>
      <c r="AS869" s="5"/>
      <c r="AT869" s="5"/>
      <c r="AU869" s="5"/>
      <c r="AV869" s="5"/>
      <c r="AW869" s="5"/>
      <c r="AX869" s="5"/>
      <c r="AY869" s="5"/>
      <c r="AZ869" s="5"/>
      <c r="BA869" s="5"/>
      <c r="BB869" s="5"/>
      <c r="BC869" s="5"/>
      <c r="BD869" s="5"/>
      <c r="BE869" s="5"/>
      <c r="BF869" s="5"/>
      <c r="BG869" s="5"/>
      <c r="BH869" s="5"/>
      <c r="BI869" s="5"/>
      <c r="BJ869" s="5"/>
      <c r="BK869" s="5"/>
      <c r="BL869" s="5"/>
      <c r="BM869" s="5"/>
      <c r="BN869" s="5"/>
      <c r="BO869" s="5"/>
      <c r="BP869" s="5"/>
      <c r="BQ869" s="5"/>
      <c r="BR869" s="5"/>
      <c r="BS869" s="5"/>
      <c r="BT869" s="5"/>
      <c r="BU869" s="5"/>
      <c r="BV869" s="5"/>
      <c r="BW869" s="5"/>
      <c r="BX869" s="5"/>
      <c r="BY869" s="5"/>
      <c r="BZ869" s="5"/>
      <c r="CA869" s="5"/>
      <c r="CB869" s="5"/>
      <c r="CC869" s="5"/>
      <c r="CD869" s="5"/>
      <c r="CE869" s="5"/>
      <c r="CF869" s="5"/>
      <c r="CG869" s="5"/>
      <c r="CH869" s="5"/>
      <c r="CI869" s="5"/>
    </row>
    <row r="870" ht="14.25" customHeight="1">
      <c r="B870" s="1"/>
      <c r="D870" s="1"/>
      <c r="E870" s="33"/>
      <c r="F870" s="34"/>
      <c r="G870" s="5"/>
      <c r="H870" s="5"/>
      <c r="I870" s="5"/>
      <c r="J870" s="5"/>
      <c r="K870" s="5"/>
      <c r="L870" s="5"/>
      <c r="M870" s="32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  <c r="AE870" s="5"/>
      <c r="AF870" s="5"/>
      <c r="AG870" s="5"/>
      <c r="AH870" s="5"/>
      <c r="AI870" s="5"/>
      <c r="AJ870" s="5"/>
      <c r="AK870" s="5"/>
      <c r="AL870" s="5"/>
      <c r="AM870" s="5"/>
      <c r="AN870" s="5"/>
      <c r="AO870" s="5"/>
      <c r="AP870" s="5"/>
      <c r="AQ870" s="5"/>
      <c r="AR870" s="5"/>
      <c r="AS870" s="5"/>
      <c r="AT870" s="5"/>
      <c r="AU870" s="5"/>
      <c r="AV870" s="5"/>
      <c r="AW870" s="5"/>
      <c r="AX870" s="5"/>
      <c r="AY870" s="5"/>
      <c r="AZ870" s="5"/>
      <c r="BA870" s="5"/>
      <c r="BB870" s="5"/>
      <c r="BC870" s="5"/>
      <c r="BD870" s="5"/>
      <c r="BE870" s="5"/>
      <c r="BF870" s="5"/>
      <c r="BG870" s="5"/>
      <c r="BH870" s="5"/>
      <c r="BI870" s="5"/>
      <c r="BJ870" s="5"/>
      <c r="BK870" s="5"/>
      <c r="BL870" s="5"/>
      <c r="BM870" s="5"/>
      <c r="BN870" s="5"/>
      <c r="BO870" s="5"/>
      <c r="BP870" s="5"/>
      <c r="BQ870" s="5"/>
      <c r="BR870" s="5"/>
      <c r="BS870" s="5"/>
      <c r="BT870" s="5"/>
      <c r="BU870" s="5"/>
      <c r="BV870" s="5"/>
      <c r="BW870" s="5"/>
      <c r="BX870" s="5"/>
      <c r="BY870" s="5"/>
      <c r="BZ870" s="5"/>
      <c r="CA870" s="5"/>
      <c r="CB870" s="5"/>
      <c r="CC870" s="5"/>
      <c r="CD870" s="5"/>
      <c r="CE870" s="5"/>
      <c r="CF870" s="5"/>
      <c r="CG870" s="5"/>
      <c r="CH870" s="5"/>
      <c r="CI870" s="5"/>
    </row>
    <row r="871" ht="14.25" customHeight="1">
      <c r="B871" s="1"/>
      <c r="D871" s="1"/>
      <c r="E871" s="33"/>
      <c r="F871" s="34"/>
      <c r="G871" s="5"/>
      <c r="H871" s="5"/>
      <c r="I871" s="5"/>
      <c r="J871" s="5"/>
      <c r="K871" s="5"/>
      <c r="L871" s="5"/>
      <c r="M871" s="32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  <c r="AG871" s="5"/>
      <c r="AH871" s="5"/>
      <c r="AI871" s="5"/>
      <c r="AJ871" s="5"/>
      <c r="AK871" s="5"/>
      <c r="AL871" s="5"/>
      <c r="AM871" s="5"/>
      <c r="AN871" s="5"/>
      <c r="AO871" s="5"/>
      <c r="AP871" s="5"/>
      <c r="AQ871" s="5"/>
      <c r="AR871" s="5"/>
      <c r="AS871" s="5"/>
      <c r="AT871" s="5"/>
      <c r="AU871" s="5"/>
      <c r="AV871" s="5"/>
      <c r="AW871" s="5"/>
      <c r="AX871" s="5"/>
      <c r="AY871" s="5"/>
      <c r="AZ871" s="5"/>
      <c r="BA871" s="5"/>
      <c r="BB871" s="5"/>
      <c r="BC871" s="5"/>
      <c r="BD871" s="5"/>
      <c r="BE871" s="5"/>
      <c r="BF871" s="5"/>
      <c r="BG871" s="5"/>
      <c r="BH871" s="5"/>
      <c r="BI871" s="5"/>
      <c r="BJ871" s="5"/>
      <c r="BK871" s="5"/>
      <c r="BL871" s="5"/>
      <c r="BM871" s="5"/>
      <c r="BN871" s="5"/>
      <c r="BO871" s="5"/>
      <c r="BP871" s="5"/>
      <c r="BQ871" s="5"/>
      <c r="BR871" s="5"/>
      <c r="BS871" s="5"/>
      <c r="BT871" s="5"/>
      <c r="BU871" s="5"/>
      <c r="BV871" s="5"/>
      <c r="BW871" s="5"/>
      <c r="BX871" s="5"/>
      <c r="BY871" s="5"/>
      <c r="BZ871" s="5"/>
      <c r="CA871" s="5"/>
      <c r="CB871" s="5"/>
      <c r="CC871" s="5"/>
      <c r="CD871" s="5"/>
      <c r="CE871" s="5"/>
      <c r="CF871" s="5"/>
      <c r="CG871" s="5"/>
      <c r="CH871" s="5"/>
      <c r="CI871" s="5"/>
    </row>
    <row r="872" ht="14.25" customHeight="1">
      <c r="B872" s="1"/>
      <c r="D872" s="1"/>
      <c r="E872" s="33"/>
      <c r="F872" s="34"/>
      <c r="G872" s="5"/>
      <c r="H872" s="5"/>
      <c r="I872" s="5"/>
      <c r="J872" s="5"/>
      <c r="K872" s="5"/>
      <c r="L872" s="5"/>
      <c r="M872" s="32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  <c r="AG872" s="5"/>
      <c r="AH872" s="5"/>
      <c r="AI872" s="5"/>
      <c r="AJ872" s="5"/>
      <c r="AK872" s="5"/>
      <c r="AL872" s="5"/>
      <c r="AM872" s="5"/>
      <c r="AN872" s="5"/>
      <c r="AO872" s="5"/>
      <c r="AP872" s="5"/>
      <c r="AQ872" s="5"/>
      <c r="AR872" s="5"/>
      <c r="AS872" s="5"/>
      <c r="AT872" s="5"/>
      <c r="AU872" s="5"/>
      <c r="AV872" s="5"/>
      <c r="AW872" s="5"/>
      <c r="AX872" s="5"/>
      <c r="AY872" s="5"/>
      <c r="AZ872" s="5"/>
      <c r="BA872" s="5"/>
      <c r="BB872" s="5"/>
      <c r="BC872" s="5"/>
      <c r="BD872" s="5"/>
      <c r="BE872" s="5"/>
      <c r="BF872" s="5"/>
      <c r="BG872" s="5"/>
      <c r="BH872" s="5"/>
      <c r="BI872" s="5"/>
      <c r="BJ872" s="5"/>
      <c r="BK872" s="5"/>
      <c r="BL872" s="5"/>
      <c r="BM872" s="5"/>
      <c r="BN872" s="5"/>
      <c r="BO872" s="5"/>
      <c r="BP872" s="5"/>
      <c r="BQ872" s="5"/>
      <c r="BR872" s="5"/>
      <c r="BS872" s="5"/>
      <c r="BT872" s="5"/>
      <c r="BU872" s="5"/>
      <c r="BV872" s="5"/>
      <c r="BW872" s="5"/>
      <c r="BX872" s="5"/>
      <c r="BY872" s="5"/>
      <c r="BZ872" s="5"/>
      <c r="CA872" s="5"/>
      <c r="CB872" s="5"/>
      <c r="CC872" s="5"/>
      <c r="CD872" s="5"/>
      <c r="CE872" s="5"/>
      <c r="CF872" s="5"/>
      <c r="CG872" s="5"/>
      <c r="CH872" s="5"/>
      <c r="CI872" s="5"/>
    </row>
    <row r="873" ht="14.25" customHeight="1">
      <c r="B873" s="1"/>
      <c r="D873" s="1"/>
      <c r="E873" s="33"/>
      <c r="F873" s="34"/>
      <c r="G873" s="5"/>
      <c r="H873" s="5"/>
      <c r="I873" s="5"/>
      <c r="J873" s="5"/>
      <c r="K873" s="5"/>
      <c r="L873" s="5"/>
      <c r="M873" s="32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  <c r="AE873" s="5"/>
      <c r="AF873" s="5"/>
      <c r="AG873" s="5"/>
      <c r="AH873" s="5"/>
      <c r="AI873" s="5"/>
      <c r="AJ873" s="5"/>
      <c r="AK873" s="5"/>
      <c r="AL873" s="5"/>
      <c r="AM873" s="5"/>
      <c r="AN873" s="5"/>
      <c r="AO873" s="5"/>
      <c r="AP873" s="5"/>
      <c r="AQ873" s="5"/>
      <c r="AR873" s="5"/>
      <c r="AS873" s="5"/>
      <c r="AT873" s="5"/>
      <c r="AU873" s="5"/>
      <c r="AV873" s="5"/>
      <c r="AW873" s="5"/>
      <c r="AX873" s="5"/>
      <c r="AY873" s="5"/>
      <c r="AZ873" s="5"/>
      <c r="BA873" s="5"/>
      <c r="BB873" s="5"/>
      <c r="BC873" s="5"/>
      <c r="BD873" s="5"/>
      <c r="BE873" s="5"/>
      <c r="BF873" s="5"/>
      <c r="BG873" s="5"/>
      <c r="BH873" s="5"/>
      <c r="BI873" s="5"/>
      <c r="BJ873" s="5"/>
      <c r="BK873" s="5"/>
      <c r="BL873" s="5"/>
      <c r="BM873" s="5"/>
      <c r="BN873" s="5"/>
      <c r="BO873" s="5"/>
      <c r="BP873" s="5"/>
      <c r="BQ873" s="5"/>
      <c r="BR873" s="5"/>
      <c r="BS873" s="5"/>
      <c r="BT873" s="5"/>
      <c r="BU873" s="5"/>
      <c r="BV873" s="5"/>
      <c r="BW873" s="5"/>
      <c r="BX873" s="5"/>
      <c r="BY873" s="5"/>
      <c r="BZ873" s="5"/>
      <c r="CA873" s="5"/>
      <c r="CB873" s="5"/>
      <c r="CC873" s="5"/>
      <c r="CD873" s="5"/>
      <c r="CE873" s="5"/>
      <c r="CF873" s="5"/>
      <c r="CG873" s="5"/>
      <c r="CH873" s="5"/>
      <c r="CI873" s="5"/>
    </row>
    <row r="874" ht="14.25" customHeight="1">
      <c r="B874" s="1"/>
      <c r="D874" s="1"/>
      <c r="E874" s="33"/>
      <c r="F874" s="34"/>
      <c r="G874" s="5"/>
      <c r="H874" s="5"/>
      <c r="I874" s="5"/>
      <c r="J874" s="5"/>
      <c r="K874" s="5"/>
      <c r="L874" s="5"/>
      <c r="M874" s="32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  <c r="AG874" s="5"/>
      <c r="AH874" s="5"/>
      <c r="AI874" s="5"/>
      <c r="AJ874" s="5"/>
      <c r="AK874" s="5"/>
      <c r="AL874" s="5"/>
      <c r="AM874" s="5"/>
      <c r="AN874" s="5"/>
      <c r="AO874" s="5"/>
      <c r="AP874" s="5"/>
      <c r="AQ874" s="5"/>
      <c r="AR874" s="5"/>
      <c r="AS874" s="5"/>
      <c r="AT874" s="5"/>
      <c r="AU874" s="5"/>
      <c r="AV874" s="5"/>
      <c r="AW874" s="5"/>
      <c r="AX874" s="5"/>
      <c r="AY874" s="5"/>
      <c r="AZ874" s="5"/>
      <c r="BA874" s="5"/>
      <c r="BB874" s="5"/>
      <c r="BC874" s="5"/>
      <c r="BD874" s="5"/>
      <c r="BE874" s="5"/>
      <c r="BF874" s="5"/>
      <c r="BG874" s="5"/>
      <c r="BH874" s="5"/>
      <c r="BI874" s="5"/>
      <c r="BJ874" s="5"/>
      <c r="BK874" s="5"/>
      <c r="BL874" s="5"/>
      <c r="BM874" s="5"/>
      <c r="BN874" s="5"/>
      <c r="BO874" s="5"/>
      <c r="BP874" s="5"/>
      <c r="BQ874" s="5"/>
      <c r="BR874" s="5"/>
      <c r="BS874" s="5"/>
      <c r="BT874" s="5"/>
      <c r="BU874" s="5"/>
      <c r="BV874" s="5"/>
      <c r="BW874" s="5"/>
      <c r="BX874" s="5"/>
      <c r="BY874" s="5"/>
      <c r="BZ874" s="5"/>
      <c r="CA874" s="5"/>
      <c r="CB874" s="5"/>
      <c r="CC874" s="5"/>
      <c r="CD874" s="5"/>
      <c r="CE874" s="5"/>
      <c r="CF874" s="5"/>
      <c r="CG874" s="5"/>
      <c r="CH874" s="5"/>
      <c r="CI874" s="5"/>
    </row>
    <row r="875" ht="14.25" customHeight="1">
      <c r="B875" s="1"/>
      <c r="D875" s="1"/>
      <c r="E875" s="33"/>
      <c r="F875" s="34"/>
      <c r="G875" s="5"/>
      <c r="H875" s="5"/>
      <c r="I875" s="5"/>
      <c r="J875" s="5"/>
      <c r="K875" s="5"/>
      <c r="L875" s="5"/>
      <c r="M875" s="32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  <c r="AG875" s="5"/>
      <c r="AH875" s="5"/>
      <c r="AI875" s="5"/>
      <c r="AJ875" s="5"/>
      <c r="AK875" s="5"/>
      <c r="AL875" s="5"/>
      <c r="AM875" s="5"/>
      <c r="AN875" s="5"/>
      <c r="AO875" s="5"/>
      <c r="AP875" s="5"/>
      <c r="AQ875" s="5"/>
      <c r="AR875" s="5"/>
      <c r="AS875" s="5"/>
      <c r="AT875" s="5"/>
      <c r="AU875" s="5"/>
      <c r="AV875" s="5"/>
      <c r="AW875" s="5"/>
      <c r="AX875" s="5"/>
      <c r="AY875" s="5"/>
      <c r="AZ875" s="5"/>
      <c r="BA875" s="5"/>
      <c r="BB875" s="5"/>
      <c r="BC875" s="5"/>
      <c r="BD875" s="5"/>
      <c r="BE875" s="5"/>
      <c r="BF875" s="5"/>
      <c r="BG875" s="5"/>
      <c r="BH875" s="5"/>
      <c r="BI875" s="5"/>
      <c r="BJ875" s="5"/>
      <c r="BK875" s="5"/>
      <c r="BL875" s="5"/>
      <c r="BM875" s="5"/>
      <c r="BN875" s="5"/>
      <c r="BO875" s="5"/>
      <c r="BP875" s="5"/>
      <c r="BQ875" s="5"/>
      <c r="BR875" s="5"/>
      <c r="BS875" s="5"/>
      <c r="BT875" s="5"/>
      <c r="BU875" s="5"/>
      <c r="BV875" s="5"/>
      <c r="BW875" s="5"/>
      <c r="BX875" s="5"/>
      <c r="BY875" s="5"/>
      <c r="BZ875" s="5"/>
      <c r="CA875" s="5"/>
      <c r="CB875" s="5"/>
      <c r="CC875" s="5"/>
      <c r="CD875" s="5"/>
      <c r="CE875" s="5"/>
      <c r="CF875" s="5"/>
      <c r="CG875" s="5"/>
      <c r="CH875" s="5"/>
      <c r="CI875" s="5"/>
    </row>
    <row r="876" ht="14.25" customHeight="1">
      <c r="B876" s="1"/>
      <c r="D876" s="1"/>
      <c r="E876" s="33"/>
      <c r="F876" s="34"/>
      <c r="G876" s="5"/>
      <c r="H876" s="5"/>
      <c r="I876" s="5"/>
      <c r="J876" s="5"/>
      <c r="K876" s="5"/>
      <c r="L876" s="5"/>
      <c r="M876" s="32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  <c r="AG876" s="5"/>
      <c r="AH876" s="5"/>
      <c r="AI876" s="5"/>
      <c r="AJ876" s="5"/>
      <c r="AK876" s="5"/>
      <c r="AL876" s="5"/>
      <c r="AM876" s="5"/>
      <c r="AN876" s="5"/>
      <c r="AO876" s="5"/>
      <c r="AP876" s="5"/>
      <c r="AQ876" s="5"/>
      <c r="AR876" s="5"/>
      <c r="AS876" s="5"/>
      <c r="AT876" s="5"/>
      <c r="AU876" s="5"/>
      <c r="AV876" s="5"/>
      <c r="AW876" s="5"/>
      <c r="AX876" s="5"/>
      <c r="AY876" s="5"/>
      <c r="AZ876" s="5"/>
      <c r="BA876" s="5"/>
      <c r="BB876" s="5"/>
      <c r="BC876" s="5"/>
      <c r="BD876" s="5"/>
      <c r="BE876" s="5"/>
      <c r="BF876" s="5"/>
      <c r="BG876" s="5"/>
      <c r="BH876" s="5"/>
      <c r="BI876" s="5"/>
      <c r="BJ876" s="5"/>
      <c r="BK876" s="5"/>
      <c r="BL876" s="5"/>
      <c r="BM876" s="5"/>
      <c r="BN876" s="5"/>
      <c r="BO876" s="5"/>
      <c r="BP876" s="5"/>
      <c r="BQ876" s="5"/>
      <c r="BR876" s="5"/>
      <c r="BS876" s="5"/>
      <c r="BT876" s="5"/>
      <c r="BU876" s="5"/>
      <c r="BV876" s="5"/>
      <c r="BW876" s="5"/>
      <c r="BX876" s="5"/>
      <c r="BY876" s="5"/>
      <c r="BZ876" s="5"/>
      <c r="CA876" s="5"/>
      <c r="CB876" s="5"/>
      <c r="CC876" s="5"/>
      <c r="CD876" s="5"/>
      <c r="CE876" s="5"/>
      <c r="CF876" s="5"/>
      <c r="CG876" s="5"/>
      <c r="CH876" s="5"/>
      <c r="CI876" s="5"/>
    </row>
    <row r="877" ht="14.25" customHeight="1">
      <c r="B877" s="1"/>
      <c r="D877" s="1"/>
      <c r="E877" s="33"/>
      <c r="F877" s="34"/>
      <c r="G877" s="5"/>
      <c r="H877" s="5"/>
      <c r="I877" s="5"/>
      <c r="J877" s="5"/>
      <c r="K877" s="5"/>
      <c r="L877" s="5"/>
      <c r="M877" s="32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  <c r="AG877" s="5"/>
      <c r="AH877" s="5"/>
      <c r="AI877" s="5"/>
      <c r="AJ877" s="5"/>
      <c r="AK877" s="5"/>
      <c r="AL877" s="5"/>
      <c r="AM877" s="5"/>
      <c r="AN877" s="5"/>
      <c r="AO877" s="5"/>
      <c r="AP877" s="5"/>
      <c r="AQ877" s="5"/>
      <c r="AR877" s="5"/>
      <c r="AS877" s="5"/>
      <c r="AT877" s="5"/>
      <c r="AU877" s="5"/>
      <c r="AV877" s="5"/>
      <c r="AW877" s="5"/>
      <c r="AX877" s="5"/>
      <c r="AY877" s="5"/>
      <c r="AZ877" s="5"/>
      <c r="BA877" s="5"/>
      <c r="BB877" s="5"/>
      <c r="BC877" s="5"/>
      <c r="BD877" s="5"/>
      <c r="BE877" s="5"/>
      <c r="BF877" s="5"/>
      <c r="BG877" s="5"/>
      <c r="BH877" s="5"/>
      <c r="BI877" s="5"/>
      <c r="BJ877" s="5"/>
      <c r="BK877" s="5"/>
      <c r="BL877" s="5"/>
      <c r="BM877" s="5"/>
      <c r="BN877" s="5"/>
      <c r="BO877" s="5"/>
      <c r="BP877" s="5"/>
      <c r="BQ877" s="5"/>
      <c r="BR877" s="5"/>
      <c r="BS877" s="5"/>
      <c r="BT877" s="5"/>
      <c r="BU877" s="5"/>
      <c r="BV877" s="5"/>
      <c r="BW877" s="5"/>
      <c r="BX877" s="5"/>
      <c r="BY877" s="5"/>
      <c r="BZ877" s="5"/>
      <c r="CA877" s="5"/>
      <c r="CB877" s="5"/>
      <c r="CC877" s="5"/>
      <c r="CD877" s="5"/>
      <c r="CE877" s="5"/>
      <c r="CF877" s="5"/>
      <c r="CG877" s="5"/>
      <c r="CH877" s="5"/>
      <c r="CI877" s="5"/>
    </row>
    <row r="878" ht="14.25" customHeight="1">
      <c r="B878" s="1"/>
      <c r="D878" s="1"/>
      <c r="E878" s="33"/>
      <c r="F878" s="34"/>
      <c r="G878" s="5"/>
      <c r="H878" s="5"/>
      <c r="I878" s="5"/>
      <c r="J878" s="5"/>
      <c r="K878" s="5"/>
      <c r="L878" s="5"/>
      <c r="M878" s="32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  <c r="AE878" s="5"/>
      <c r="AF878" s="5"/>
      <c r="AG878" s="5"/>
      <c r="AH878" s="5"/>
      <c r="AI878" s="5"/>
      <c r="AJ878" s="5"/>
      <c r="AK878" s="5"/>
      <c r="AL878" s="5"/>
      <c r="AM878" s="5"/>
      <c r="AN878" s="5"/>
      <c r="AO878" s="5"/>
      <c r="AP878" s="5"/>
      <c r="AQ878" s="5"/>
      <c r="AR878" s="5"/>
      <c r="AS878" s="5"/>
      <c r="AT878" s="5"/>
      <c r="AU878" s="5"/>
      <c r="AV878" s="5"/>
      <c r="AW878" s="5"/>
      <c r="AX878" s="5"/>
      <c r="AY878" s="5"/>
      <c r="AZ878" s="5"/>
      <c r="BA878" s="5"/>
      <c r="BB878" s="5"/>
      <c r="BC878" s="5"/>
      <c r="BD878" s="5"/>
      <c r="BE878" s="5"/>
      <c r="BF878" s="5"/>
      <c r="BG878" s="5"/>
      <c r="BH878" s="5"/>
      <c r="BI878" s="5"/>
      <c r="BJ878" s="5"/>
      <c r="BK878" s="5"/>
      <c r="BL878" s="5"/>
      <c r="BM878" s="5"/>
      <c r="BN878" s="5"/>
      <c r="BO878" s="5"/>
      <c r="BP878" s="5"/>
      <c r="BQ878" s="5"/>
      <c r="BR878" s="5"/>
      <c r="BS878" s="5"/>
      <c r="BT878" s="5"/>
      <c r="BU878" s="5"/>
      <c r="BV878" s="5"/>
      <c r="BW878" s="5"/>
      <c r="BX878" s="5"/>
      <c r="BY878" s="5"/>
      <c r="BZ878" s="5"/>
      <c r="CA878" s="5"/>
      <c r="CB878" s="5"/>
      <c r="CC878" s="5"/>
      <c r="CD878" s="5"/>
      <c r="CE878" s="5"/>
      <c r="CF878" s="5"/>
      <c r="CG878" s="5"/>
      <c r="CH878" s="5"/>
      <c r="CI878" s="5"/>
    </row>
    <row r="879" ht="14.25" customHeight="1">
      <c r="B879" s="1"/>
      <c r="D879" s="1"/>
      <c r="E879" s="33"/>
      <c r="F879" s="34"/>
      <c r="G879" s="5"/>
      <c r="H879" s="5"/>
      <c r="I879" s="5"/>
      <c r="J879" s="5"/>
      <c r="K879" s="5"/>
      <c r="L879" s="5"/>
      <c r="M879" s="32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  <c r="AG879" s="5"/>
      <c r="AH879" s="5"/>
      <c r="AI879" s="5"/>
      <c r="AJ879" s="5"/>
      <c r="AK879" s="5"/>
      <c r="AL879" s="5"/>
      <c r="AM879" s="5"/>
      <c r="AN879" s="5"/>
      <c r="AO879" s="5"/>
      <c r="AP879" s="5"/>
      <c r="AQ879" s="5"/>
      <c r="AR879" s="5"/>
      <c r="AS879" s="5"/>
      <c r="AT879" s="5"/>
      <c r="AU879" s="5"/>
      <c r="AV879" s="5"/>
      <c r="AW879" s="5"/>
      <c r="AX879" s="5"/>
      <c r="AY879" s="5"/>
      <c r="AZ879" s="5"/>
      <c r="BA879" s="5"/>
      <c r="BB879" s="5"/>
      <c r="BC879" s="5"/>
      <c r="BD879" s="5"/>
      <c r="BE879" s="5"/>
      <c r="BF879" s="5"/>
      <c r="BG879" s="5"/>
      <c r="BH879" s="5"/>
      <c r="BI879" s="5"/>
      <c r="BJ879" s="5"/>
      <c r="BK879" s="5"/>
      <c r="BL879" s="5"/>
      <c r="BM879" s="5"/>
      <c r="BN879" s="5"/>
      <c r="BO879" s="5"/>
      <c r="BP879" s="5"/>
      <c r="BQ879" s="5"/>
      <c r="BR879" s="5"/>
      <c r="BS879" s="5"/>
      <c r="BT879" s="5"/>
      <c r="BU879" s="5"/>
      <c r="BV879" s="5"/>
      <c r="BW879" s="5"/>
      <c r="BX879" s="5"/>
      <c r="BY879" s="5"/>
      <c r="BZ879" s="5"/>
      <c r="CA879" s="5"/>
      <c r="CB879" s="5"/>
      <c r="CC879" s="5"/>
      <c r="CD879" s="5"/>
      <c r="CE879" s="5"/>
      <c r="CF879" s="5"/>
      <c r="CG879" s="5"/>
      <c r="CH879" s="5"/>
      <c r="CI879" s="5"/>
    </row>
    <row r="880" ht="14.25" customHeight="1">
      <c r="B880" s="1"/>
      <c r="D880" s="1"/>
      <c r="E880" s="33"/>
      <c r="F880" s="34"/>
      <c r="G880" s="5"/>
      <c r="H880" s="5"/>
      <c r="I880" s="5"/>
      <c r="J880" s="5"/>
      <c r="K880" s="5"/>
      <c r="L880" s="5"/>
      <c r="M880" s="32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  <c r="AG880" s="5"/>
      <c r="AH880" s="5"/>
      <c r="AI880" s="5"/>
      <c r="AJ880" s="5"/>
      <c r="AK880" s="5"/>
      <c r="AL880" s="5"/>
      <c r="AM880" s="5"/>
      <c r="AN880" s="5"/>
      <c r="AO880" s="5"/>
      <c r="AP880" s="5"/>
      <c r="AQ880" s="5"/>
      <c r="AR880" s="5"/>
      <c r="AS880" s="5"/>
      <c r="AT880" s="5"/>
      <c r="AU880" s="5"/>
      <c r="AV880" s="5"/>
      <c r="AW880" s="5"/>
      <c r="AX880" s="5"/>
      <c r="AY880" s="5"/>
      <c r="AZ880" s="5"/>
      <c r="BA880" s="5"/>
      <c r="BB880" s="5"/>
      <c r="BC880" s="5"/>
      <c r="BD880" s="5"/>
      <c r="BE880" s="5"/>
      <c r="BF880" s="5"/>
      <c r="BG880" s="5"/>
      <c r="BH880" s="5"/>
      <c r="BI880" s="5"/>
      <c r="BJ880" s="5"/>
      <c r="BK880" s="5"/>
      <c r="BL880" s="5"/>
      <c r="BM880" s="5"/>
      <c r="BN880" s="5"/>
      <c r="BO880" s="5"/>
      <c r="BP880" s="5"/>
      <c r="BQ880" s="5"/>
      <c r="BR880" s="5"/>
      <c r="BS880" s="5"/>
      <c r="BT880" s="5"/>
      <c r="BU880" s="5"/>
      <c r="BV880" s="5"/>
      <c r="BW880" s="5"/>
      <c r="BX880" s="5"/>
      <c r="BY880" s="5"/>
      <c r="BZ880" s="5"/>
      <c r="CA880" s="5"/>
      <c r="CB880" s="5"/>
      <c r="CC880" s="5"/>
      <c r="CD880" s="5"/>
      <c r="CE880" s="5"/>
      <c r="CF880" s="5"/>
      <c r="CG880" s="5"/>
      <c r="CH880" s="5"/>
      <c r="CI880" s="5"/>
    </row>
    <row r="881" ht="14.25" customHeight="1">
      <c r="B881" s="1"/>
      <c r="D881" s="1"/>
      <c r="E881" s="33"/>
      <c r="F881" s="34"/>
      <c r="G881" s="5"/>
      <c r="H881" s="5"/>
      <c r="I881" s="5"/>
      <c r="J881" s="5"/>
      <c r="K881" s="5"/>
      <c r="L881" s="5"/>
      <c r="M881" s="32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  <c r="AG881" s="5"/>
      <c r="AH881" s="5"/>
      <c r="AI881" s="5"/>
      <c r="AJ881" s="5"/>
      <c r="AK881" s="5"/>
      <c r="AL881" s="5"/>
      <c r="AM881" s="5"/>
      <c r="AN881" s="5"/>
      <c r="AO881" s="5"/>
      <c r="AP881" s="5"/>
      <c r="AQ881" s="5"/>
      <c r="AR881" s="5"/>
      <c r="AS881" s="5"/>
      <c r="AT881" s="5"/>
      <c r="AU881" s="5"/>
      <c r="AV881" s="5"/>
      <c r="AW881" s="5"/>
      <c r="AX881" s="5"/>
      <c r="AY881" s="5"/>
      <c r="AZ881" s="5"/>
      <c r="BA881" s="5"/>
      <c r="BB881" s="5"/>
      <c r="BC881" s="5"/>
      <c r="BD881" s="5"/>
      <c r="BE881" s="5"/>
      <c r="BF881" s="5"/>
      <c r="BG881" s="5"/>
      <c r="BH881" s="5"/>
      <c r="BI881" s="5"/>
      <c r="BJ881" s="5"/>
      <c r="BK881" s="5"/>
      <c r="BL881" s="5"/>
      <c r="BM881" s="5"/>
      <c r="BN881" s="5"/>
      <c r="BO881" s="5"/>
      <c r="BP881" s="5"/>
      <c r="BQ881" s="5"/>
      <c r="BR881" s="5"/>
      <c r="BS881" s="5"/>
      <c r="BT881" s="5"/>
      <c r="BU881" s="5"/>
      <c r="BV881" s="5"/>
      <c r="BW881" s="5"/>
      <c r="BX881" s="5"/>
      <c r="BY881" s="5"/>
      <c r="BZ881" s="5"/>
      <c r="CA881" s="5"/>
      <c r="CB881" s="5"/>
      <c r="CC881" s="5"/>
      <c r="CD881" s="5"/>
      <c r="CE881" s="5"/>
      <c r="CF881" s="5"/>
      <c r="CG881" s="5"/>
      <c r="CH881" s="5"/>
      <c r="CI881" s="5"/>
    </row>
    <row r="882" ht="14.25" customHeight="1">
      <c r="B882" s="1"/>
      <c r="D882" s="1"/>
      <c r="E882" s="33"/>
      <c r="F882" s="34"/>
      <c r="G882" s="5"/>
      <c r="H882" s="5"/>
      <c r="I882" s="5"/>
      <c r="J882" s="5"/>
      <c r="K882" s="5"/>
      <c r="L882" s="5"/>
      <c r="M882" s="32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  <c r="AE882" s="5"/>
      <c r="AF882" s="5"/>
      <c r="AG882" s="5"/>
      <c r="AH882" s="5"/>
      <c r="AI882" s="5"/>
      <c r="AJ882" s="5"/>
      <c r="AK882" s="5"/>
      <c r="AL882" s="5"/>
      <c r="AM882" s="5"/>
      <c r="AN882" s="5"/>
      <c r="AO882" s="5"/>
      <c r="AP882" s="5"/>
      <c r="AQ882" s="5"/>
      <c r="AR882" s="5"/>
      <c r="AS882" s="5"/>
      <c r="AT882" s="5"/>
      <c r="AU882" s="5"/>
      <c r="AV882" s="5"/>
      <c r="AW882" s="5"/>
      <c r="AX882" s="5"/>
      <c r="AY882" s="5"/>
      <c r="AZ882" s="5"/>
      <c r="BA882" s="5"/>
      <c r="BB882" s="5"/>
      <c r="BC882" s="5"/>
      <c r="BD882" s="5"/>
      <c r="BE882" s="5"/>
      <c r="BF882" s="5"/>
      <c r="BG882" s="5"/>
      <c r="BH882" s="5"/>
      <c r="BI882" s="5"/>
      <c r="BJ882" s="5"/>
      <c r="BK882" s="5"/>
      <c r="BL882" s="5"/>
      <c r="BM882" s="5"/>
      <c r="BN882" s="5"/>
      <c r="BO882" s="5"/>
      <c r="BP882" s="5"/>
      <c r="BQ882" s="5"/>
      <c r="BR882" s="5"/>
      <c r="BS882" s="5"/>
      <c r="BT882" s="5"/>
      <c r="BU882" s="5"/>
      <c r="BV882" s="5"/>
      <c r="BW882" s="5"/>
      <c r="BX882" s="5"/>
      <c r="BY882" s="5"/>
      <c r="BZ882" s="5"/>
      <c r="CA882" s="5"/>
      <c r="CB882" s="5"/>
      <c r="CC882" s="5"/>
      <c r="CD882" s="5"/>
      <c r="CE882" s="5"/>
      <c r="CF882" s="5"/>
      <c r="CG882" s="5"/>
      <c r="CH882" s="5"/>
      <c r="CI882" s="5"/>
    </row>
    <row r="883" ht="14.25" customHeight="1">
      <c r="B883" s="1"/>
      <c r="D883" s="1"/>
      <c r="E883" s="33"/>
      <c r="F883" s="34"/>
      <c r="G883" s="5"/>
      <c r="H883" s="5"/>
      <c r="I883" s="5"/>
      <c r="J883" s="5"/>
      <c r="K883" s="5"/>
      <c r="L883" s="5"/>
      <c r="M883" s="32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  <c r="AG883" s="5"/>
      <c r="AH883" s="5"/>
      <c r="AI883" s="5"/>
      <c r="AJ883" s="5"/>
      <c r="AK883" s="5"/>
      <c r="AL883" s="5"/>
      <c r="AM883" s="5"/>
      <c r="AN883" s="5"/>
      <c r="AO883" s="5"/>
      <c r="AP883" s="5"/>
      <c r="AQ883" s="5"/>
      <c r="AR883" s="5"/>
      <c r="AS883" s="5"/>
      <c r="AT883" s="5"/>
      <c r="AU883" s="5"/>
      <c r="AV883" s="5"/>
      <c r="AW883" s="5"/>
      <c r="AX883" s="5"/>
      <c r="AY883" s="5"/>
      <c r="AZ883" s="5"/>
      <c r="BA883" s="5"/>
      <c r="BB883" s="5"/>
      <c r="BC883" s="5"/>
      <c r="BD883" s="5"/>
      <c r="BE883" s="5"/>
      <c r="BF883" s="5"/>
      <c r="BG883" s="5"/>
      <c r="BH883" s="5"/>
      <c r="BI883" s="5"/>
      <c r="BJ883" s="5"/>
      <c r="BK883" s="5"/>
      <c r="BL883" s="5"/>
      <c r="BM883" s="5"/>
      <c r="BN883" s="5"/>
      <c r="BO883" s="5"/>
      <c r="BP883" s="5"/>
      <c r="BQ883" s="5"/>
      <c r="BR883" s="5"/>
      <c r="BS883" s="5"/>
      <c r="BT883" s="5"/>
      <c r="BU883" s="5"/>
      <c r="BV883" s="5"/>
      <c r="BW883" s="5"/>
      <c r="BX883" s="5"/>
      <c r="BY883" s="5"/>
      <c r="BZ883" s="5"/>
      <c r="CA883" s="5"/>
      <c r="CB883" s="5"/>
      <c r="CC883" s="5"/>
      <c r="CD883" s="5"/>
      <c r="CE883" s="5"/>
      <c r="CF883" s="5"/>
      <c r="CG883" s="5"/>
      <c r="CH883" s="5"/>
      <c r="CI883" s="5"/>
    </row>
    <row r="884" ht="14.25" customHeight="1">
      <c r="B884" s="1"/>
      <c r="D884" s="1"/>
      <c r="E884" s="33"/>
      <c r="F884" s="34"/>
      <c r="G884" s="5"/>
      <c r="H884" s="5"/>
      <c r="I884" s="5"/>
      <c r="J884" s="5"/>
      <c r="K884" s="5"/>
      <c r="L884" s="5"/>
      <c r="M884" s="32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  <c r="AG884" s="5"/>
      <c r="AH884" s="5"/>
      <c r="AI884" s="5"/>
      <c r="AJ884" s="5"/>
      <c r="AK884" s="5"/>
      <c r="AL884" s="5"/>
      <c r="AM884" s="5"/>
      <c r="AN884" s="5"/>
      <c r="AO884" s="5"/>
      <c r="AP884" s="5"/>
      <c r="AQ884" s="5"/>
      <c r="AR884" s="5"/>
      <c r="AS884" s="5"/>
      <c r="AT884" s="5"/>
      <c r="AU884" s="5"/>
      <c r="AV884" s="5"/>
      <c r="AW884" s="5"/>
      <c r="AX884" s="5"/>
      <c r="AY884" s="5"/>
      <c r="AZ884" s="5"/>
      <c r="BA884" s="5"/>
      <c r="BB884" s="5"/>
      <c r="BC884" s="5"/>
      <c r="BD884" s="5"/>
      <c r="BE884" s="5"/>
      <c r="BF884" s="5"/>
      <c r="BG884" s="5"/>
      <c r="BH884" s="5"/>
      <c r="BI884" s="5"/>
      <c r="BJ884" s="5"/>
      <c r="BK884" s="5"/>
      <c r="BL884" s="5"/>
      <c r="BM884" s="5"/>
      <c r="BN884" s="5"/>
      <c r="BO884" s="5"/>
      <c r="BP884" s="5"/>
      <c r="BQ884" s="5"/>
      <c r="BR884" s="5"/>
      <c r="BS884" s="5"/>
      <c r="BT884" s="5"/>
      <c r="BU884" s="5"/>
      <c r="BV884" s="5"/>
      <c r="BW884" s="5"/>
      <c r="BX884" s="5"/>
      <c r="BY884" s="5"/>
      <c r="BZ884" s="5"/>
      <c r="CA884" s="5"/>
      <c r="CB884" s="5"/>
      <c r="CC884" s="5"/>
      <c r="CD884" s="5"/>
      <c r="CE884" s="5"/>
      <c r="CF884" s="5"/>
      <c r="CG884" s="5"/>
      <c r="CH884" s="5"/>
      <c r="CI884" s="5"/>
    </row>
    <row r="885" ht="14.25" customHeight="1">
      <c r="B885" s="1"/>
      <c r="D885" s="1"/>
      <c r="E885" s="33"/>
      <c r="F885" s="34"/>
      <c r="G885" s="5"/>
      <c r="H885" s="5"/>
      <c r="I885" s="5"/>
      <c r="J885" s="5"/>
      <c r="K885" s="5"/>
      <c r="L885" s="5"/>
      <c r="M885" s="32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  <c r="AE885" s="5"/>
      <c r="AF885" s="5"/>
      <c r="AG885" s="5"/>
      <c r="AH885" s="5"/>
      <c r="AI885" s="5"/>
      <c r="AJ885" s="5"/>
      <c r="AK885" s="5"/>
      <c r="AL885" s="5"/>
      <c r="AM885" s="5"/>
      <c r="AN885" s="5"/>
      <c r="AO885" s="5"/>
      <c r="AP885" s="5"/>
      <c r="AQ885" s="5"/>
      <c r="AR885" s="5"/>
      <c r="AS885" s="5"/>
      <c r="AT885" s="5"/>
      <c r="AU885" s="5"/>
      <c r="AV885" s="5"/>
      <c r="AW885" s="5"/>
      <c r="AX885" s="5"/>
      <c r="AY885" s="5"/>
      <c r="AZ885" s="5"/>
      <c r="BA885" s="5"/>
      <c r="BB885" s="5"/>
      <c r="BC885" s="5"/>
      <c r="BD885" s="5"/>
      <c r="BE885" s="5"/>
      <c r="BF885" s="5"/>
      <c r="BG885" s="5"/>
      <c r="BH885" s="5"/>
      <c r="BI885" s="5"/>
      <c r="BJ885" s="5"/>
      <c r="BK885" s="5"/>
      <c r="BL885" s="5"/>
      <c r="BM885" s="5"/>
      <c r="BN885" s="5"/>
      <c r="BO885" s="5"/>
      <c r="BP885" s="5"/>
      <c r="BQ885" s="5"/>
      <c r="BR885" s="5"/>
      <c r="BS885" s="5"/>
      <c r="BT885" s="5"/>
      <c r="BU885" s="5"/>
      <c r="BV885" s="5"/>
      <c r="BW885" s="5"/>
      <c r="BX885" s="5"/>
      <c r="BY885" s="5"/>
      <c r="BZ885" s="5"/>
      <c r="CA885" s="5"/>
      <c r="CB885" s="5"/>
      <c r="CC885" s="5"/>
      <c r="CD885" s="5"/>
      <c r="CE885" s="5"/>
      <c r="CF885" s="5"/>
      <c r="CG885" s="5"/>
      <c r="CH885" s="5"/>
      <c r="CI885" s="5"/>
    </row>
    <row r="886" ht="14.25" customHeight="1">
      <c r="B886" s="1"/>
      <c r="D886" s="1"/>
      <c r="E886" s="33"/>
      <c r="F886" s="34"/>
      <c r="G886" s="5"/>
      <c r="H886" s="5"/>
      <c r="I886" s="5"/>
      <c r="J886" s="5"/>
      <c r="K886" s="5"/>
      <c r="L886" s="5"/>
      <c r="M886" s="32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  <c r="AG886" s="5"/>
      <c r="AH886" s="5"/>
      <c r="AI886" s="5"/>
      <c r="AJ886" s="5"/>
      <c r="AK886" s="5"/>
      <c r="AL886" s="5"/>
      <c r="AM886" s="5"/>
      <c r="AN886" s="5"/>
      <c r="AO886" s="5"/>
      <c r="AP886" s="5"/>
      <c r="AQ886" s="5"/>
      <c r="AR886" s="5"/>
      <c r="AS886" s="5"/>
      <c r="AT886" s="5"/>
      <c r="AU886" s="5"/>
      <c r="AV886" s="5"/>
      <c r="AW886" s="5"/>
      <c r="AX886" s="5"/>
      <c r="AY886" s="5"/>
      <c r="AZ886" s="5"/>
      <c r="BA886" s="5"/>
      <c r="BB886" s="5"/>
      <c r="BC886" s="5"/>
      <c r="BD886" s="5"/>
      <c r="BE886" s="5"/>
      <c r="BF886" s="5"/>
      <c r="BG886" s="5"/>
      <c r="BH886" s="5"/>
      <c r="BI886" s="5"/>
      <c r="BJ886" s="5"/>
      <c r="BK886" s="5"/>
      <c r="BL886" s="5"/>
      <c r="BM886" s="5"/>
      <c r="BN886" s="5"/>
      <c r="BO886" s="5"/>
      <c r="BP886" s="5"/>
      <c r="BQ886" s="5"/>
      <c r="BR886" s="5"/>
      <c r="BS886" s="5"/>
      <c r="BT886" s="5"/>
      <c r="BU886" s="5"/>
      <c r="BV886" s="5"/>
      <c r="BW886" s="5"/>
      <c r="BX886" s="5"/>
      <c r="BY886" s="5"/>
      <c r="BZ886" s="5"/>
      <c r="CA886" s="5"/>
      <c r="CB886" s="5"/>
      <c r="CC886" s="5"/>
      <c r="CD886" s="5"/>
      <c r="CE886" s="5"/>
      <c r="CF886" s="5"/>
      <c r="CG886" s="5"/>
      <c r="CH886" s="5"/>
      <c r="CI886" s="5"/>
    </row>
    <row r="887" ht="14.25" customHeight="1">
      <c r="B887" s="1"/>
      <c r="D887" s="1"/>
      <c r="E887" s="33"/>
      <c r="F887" s="34"/>
      <c r="G887" s="5"/>
      <c r="H887" s="5"/>
      <c r="I887" s="5"/>
      <c r="J887" s="5"/>
      <c r="K887" s="5"/>
      <c r="L887" s="5"/>
      <c r="M887" s="32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  <c r="AE887" s="5"/>
      <c r="AF887" s="5"/>
      <c r="AG887" s="5"/>
      <c r="AH887" s="5"/>
      <c r="AI887" s="5"/>
      <c r="AJ887" s="5"/>
      <c r="AK887" s="5"/>
      <c r="AL887" s="5"/>
      <c r="AM887" s="5"/>
      <c r="AN887" s="5"/>
      <c r="AO887" s="5"/>
      <c r="AP887" s="5"/>
      <c r="AQ887" s="5"/>
      <c r="AR887" s="5"/>
      <c r="AS887" s="5"/>
      <c r="AT887" s="5"/>
      <c r="AU887" s="5"/>
      <c r="AV887" s="5"/>
      <c r="AW887" s="5"/>
      <c r="AX887" s="5"/>
      <c r="AY887" s="5"/>
      <c r="AZ887" s="5"/>
      <c r="BA887" s="5"/>
      <c r="BB887" s="5"/>
      <c r="BC887" s="5"/>
      <c r="BD887" s="5"/>
      <c r="BE887" s="5"/>
      <c r="BF887" s="5"/>
      <c r="BG887" s="5"/>
      <c r="BH887" s="5"/>
      <c r="BI887" s="5"/>
      <c r="BJ887" s="5"/>
      <c r="BK887" s="5"/>
      <c r="BL887" s="5"/>
      <c r="BM887" s="5"/>
      <c r="BN887" s="5"/>
      <c r="BO887" s="5"/>
      <c r="BP887" s="5"/>
      <c r="BQ887" s="5"/>
      <c r="BR887" s="5"/>
      <c r="BS887" s="5"/>
      <c r="BT887" s="5"/>
      <c r="BU887" s="5"/>
      <c r="BV887" s="5"/>
      <c r="BW887" s="5"/>
      <c r="BX887" s="5"/>
      <c r="BY887" s="5"/>
      <c r="BZ887" s="5"/>
      <c r="CA887" s="5"/>
      <c r="CB887" s="5"/>
      <c r="CC887" s="5"/>
      <c r="CD887" s="5"/>
      <c r="CE887" s="5"/>
      <c r="CF887" s="5"/>
      <c r="CG887" s="5"/>
      <c r="CH887" s="5"/>
      <c r="CI887" s="5"/>
    </row>
    <row r="888" ht="14.25" customHeight="1">
      <c r="B888" s="1"/>
      <c r="D888" s="1"/>
      <c r="E888" s="33"/>
      <c r="F888" s="34"/>
      <c r="G888" s="5"/>
      <c r="H888" s="5"/>
      <c r="I888" s="5"/>
      <c r="J888" s="5"/>
      <c r="K888" s="5"/>
      <c r="L888" s="5"/>
      <c r="M888" s="32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  <c r="AE888" s="5"/>
      <c r="AF888" s="5"/>
      <c r="AG888" s="5"/>
      <c r="AH888" s="5"/>
      <c r="AI888" s="5"/>
      <c r="AJ888" s="5"/>
      <c r="AK888" s="5"/>
      <c r="AL888" s="5"/>
      <c r="AM888" s="5"/>
      <c r="AN888" s="5"/>
      <c r="AO888" s="5"/>
      <c r="AP888" s="5"/>
      <c r="AQ888" s="5"/>
      <c r="AR888" s="5"/>
      <c r="AS888" s="5"/>
      <c r="AT888" s="5"/>
      <c r="AU888" s="5"/>
      <c r="AV888" s="5"/>
      <c r="AW888" s="5"/>
      <c r="AX888" s="5"/>
      <c r="AY888" s="5"/>
      <c r="AZ888" s="5"/>
      <c r="BA888" s="5"/>
      <c r="BB888" s="5"/>
      <c r="BC888" s="5"/>
      <c r="BD888" s="5"/>
      <c r="BE888" s="5"/>
      <c r="BF888" s="5"/>
      <c r="BG888" s="5"/>
      <c r="BH888" s="5"/>
      <c r="BI888" s="5"/>
      <c r="BJ888" s="5"/>
      <c r="BK888" s="5"/>
      <c r="BL888" s="5"/>
      <c r="BM888" s="5"/>
      <c r="BN888" s="5"/>
      <c r="BO888" s="5"/>
      <c r="BP888" s="5"/>
      <c r="BQ888" s="5"/>
      <c r="BR888" s="5"/>
      <c r="BS888" s="5"/>
      <c r="BT888" s="5"/>
      <c r="BU888" s="5"/>
      <c r="BV888" s="5"/>
      <c r="BW888" s="5"/>
      <c r="BX888" s="5"/>
      <c r="BY888" s="5"/>
      <c r="BZ888" s="5"/>
      <c r="CA888" s="5"/>
      <c r="CB888" s="5"/>
      <c r="CC888" s="5"/>
      <c r="CD888" s="5"/>
      <c r="CE888" s="5"/>
      <c r="CF888" s="5"/>
      <c r="CG888" s="5"/>
      <c r="CH888" s="5"/>
      <c r="CI888" s="5"/>
    </row>
    <row r="889" ht="14.25" customHeight="1">
      <c r="B889" s="1"/>
      <c r="D889" s="1"/>
      <c r="E889" s="33"/>
      <c r="F889" s="34"/>
      <c r="G889" s="5"/>
      <c r="H889" s="5"/>
      <c r="I889" s="5"/>
      <c r="J889" s="5"/>
      <c r="K889" s="5"/>
      <c r="L889" s="5"/>
      <c r="M889" s="32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  <c r="AG889" s="5"/>
      <c r="AH889" s="5"/>
      <c r="AI889" s="5"/>
      <c r="AJ889" s="5"/>
      <c r="AK889" s="5"/>
      <c r="AL889" s="5"/>
      <c r="AM889" s="5"/>
      <c r="AN889" s="5"/>
      <c r="AO889" s="5"/>
      <c r="AP889" s="5"/>
      <c r="AQ889" s="5"/>
      <c r="AR889" s="5"/>
      <c r="AS889" s="5"/>
      <c r="AT889" s="5"/>
      <c r="AU889" s="5"/>
      <c r="AV889" s="5"/>
      <c r="AW889" s="5"/>
      <c r="AX889" s="5"/>
      <c r="AY889" s="5"/>
      <c r="AZ889" s="5"/>
      <c r="BA889" s="5"/>
      <c r="BB889" s="5"/>
      <c r="BC889" s="5"/>
      <c r="BD889" s="5"/>
      <c r="BE889" s="5"/>
      <c r="BF889" s="5"/>
      <c r="BG889" s="5"/>
      <c r="BH889" s="5"/>
      <c r="BI889" s="5"/>
      <c r="BJ889" s="5"/>
      <c r="BK889" s="5"/>
      <c r="BL889" s="5"/>
      <c r="BM889" s="5"/>
      <c r="BN889" s="5"/>
      <c r="BO889" s="5"/>
      <c r="BP889" s="5"/>
      <c r="BQ889" s="5"/>
      <c r="BR889" s="5"/>
      <c r="BS889" s="5"/>
      <c r="BT889" s="5"/>
      <c r="BU889" s="5"/>
      <c r="BV889" s="5"/>
      <c r="BW889" s="5"/>
      <c r="BX889" s="5"/>
      <c r="BY889" s="5"/>
      <c r="BZ889" s="5"/>
      <c r="CA889" s="5"/>
      <c r="CB889" s="5"/>
      <c r="CC889" s="5"/>
      <c r="CD889" s="5"/>
      <c r="CE889" s="5"/>
      <c r="CF889" s="5"/>
      <c r="CG889" s="5"/>
      <c r="CH889" s="5"/>
      <c r="CI889" s="5"/>
    </row>
    <row r="890" ht="14.25" customHeight="1">
      <c r="B890" s="1"/>
      <c r="D890" s="1"/>
      <c r="E890" s="33"/>
      <c r="F890" s="34"/>
      <c r="G890" s="5"/>
      <c r="H890" s="5"/>
      <c r="I890" s="5"/>
      <c r="J890" s="5"/>
      <c r="K890" s="5"/>
      <c r="L890" s="5"/>
      <c r="M890" s="32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  <c r="AG890" s="5"/>
      <c r="AH890" s="5"/>
      <c r="AI890" s="5"/>
      <c r="AJ890" s="5"/>
      <c r="AK890" s="5"/>
      <c r="AL890" s="5"/>
      <c r="AM890" s="5"/>
      <c r="AN890" s="5"/>
      <c r="AO890" s="5"/>
      <c r="AP890" s="5"/>
      <c r="AQ890" s="5"/>
      <c r="AR890" s="5"/>
      <c r="AS890" s="5"/>
      <c r="AT890" s="5"/>
      <c r="AU890" s="5"/>
      <c r="AV890" s="5"/>
      <c r="AW890" s="5"/>
      <c r="AX890" s="5"/>
      <c r="AY890" s="5"/>
      <c r="AZ890" s="5"/>
      <c r="BA890" s="5"/>
      <c r="BB890" s="5"/>
      <c r="BC890" s="5"/>
      <c r="BD890" s="5"/>
      <c r="BE890" s="5"/>
      <c r="BF890" s="5"/>
      <c r="BG890" s="5"/>
      <c r="BH890" s="5"/>
      <c r="BI890" s="5"/>
      <c r="BJ890" s="5"/>
      <c r="BK890" s="5"/>
      <c r="BL890" s="5"/>
      <c r="BM890" s="5"/>
      <c r="BN890" s="5"/>
      <c r="BO890" s="5"/>
      <c r="BP890" s="5"/>
      <c r="BQ890" s="5"/>
      <c r="BR890" s="5"/>
      <c r="BS890" s="5"/>
      <c r="BT890" s="5"/>
      <c r="BU890" s="5"/>
      <c r="BV890" s="5"/>
      <c r="BW890" s="5"/>
      <c r="BX890" s="5"/>
      <c r="BY890" s="5"/>
      <c r="BZ890" s="5"/>
      <c r="CA890" s="5"/>
      <c r="CB890" s="5"/>
      <c r="CC890" s="5"/>
      <c r="CD890" s="5"/>
      <c r="CE890" s="5"/>
      <c r="CF890" s="5"/>
      <c r="CG890" s="5"/>
      <c r="CH890" s="5"/>
      <c r="CI890" s="5"/>
    </row>
    <row r="891" ht="14.25" customHeight="1">
      <c r="B891" s="1"/>
      <c r="D891" s="1"/>
      <c r="E891" s="33"/>
      <c r="F891" s="34"/>
      <c r="G891" s="5"/>
      <c r="H891" s="5"/>
      <c r="I891" s="5"/>
      <c r="J891" s="5"/>
      <c r="K891" s="5"/>
      <c r="L891" s="5"/>
      <c r="M891" s="32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  <c r="AE891" s="5"/>
      <c r="AF891" s="5"/>
      <c r="AG891" s="5"/>
      <c r="AH891" s="5"/>
      <c r="AI891" s="5"/>
      <c r="AJ891" s="5"/>
      <c r="AK891" s="5"/>
      <c r="AL891" s="5"/>
      <c r="AM891" s="5"/>
      <c r="AN891" s="5"/>
      <c r="AO891" s="5"/>
      <c r="AP891" s="5"/>
      <c r="AQ891" s="5"/>
      <c r="AR891" s="5"/>
      <c r="AS891" s="5"/>
      <c r="AT891" s="5"/>
      <c r="AU891" s="5"/>
      <c r="AV891" s="5"/>
      <c r="AW891" s="5"/>
      <c r="AX891" s="5"/>
      <c r="AY891" s="5"/>
      <c r="AZ891" s="5"/>
      <c r="BA891" s="5"/>
      <c r="BB891" s="5"/>
      <c r="BC891" s="5"/>
      <c r="BD891" s="5"/>
      <c r="BE891" s="5"/>
      <c r="BF891" s="5"/>
      <c r="BG891" s="5"/>
      <c r="BH891" s="5"/>
      <c r="BI891" s="5"/>
      <c r="BJ891" s="5"/>
      <c r="BK891" s="5"/>
      <c r="BL891" s="5"/>
      <c r="BM891" s="5"/>
      <c r="BN891" s="5"/>
      <c r="BO891" s="5"/>
      <c r="BP891" s="5"/>
      <c r="BQ891" s="5"/>
      <c r="BR891" s="5"/>
      <c r="BS891" s="5"/>
      <c r="BT891" s="5"/>
      <c r="BU891" s="5"/>
      <c r="BV891" s="5"/>
      <c r="BW891" s="5"/>
      <c r="BX891" s="5"/>
      <c r="BY891" s="5"/>
      <c r="BZ891" s="5"/>
      <c r="CA891" s="5"/>
      <c r="CB891" s="5"/>
      <c r="CC891" s="5"/>
      <c r="CD891" s="5"/>
      <c r="CE891" s="5"/>
      <c r="CF891" s="5"/>
      <c r="CG891" s="5"/>
      <c r="CH891" s="5"/>
      <c r="CI891" s="5"/>
    </row>
    <row r="892" ht="14.25" customHeight="1">
      <c r="B892" s="1"/>
      <c r="D892" s="1"/>
      <c r="E892" s="33"/>
      <c r="F892" s="34"/>
      <c r="G892" s="5"/>
      <c r="H892" s="5"/>
      <c r="I892" s="5"/>
      <c r="J892" s="5"/>
      <c r="K892" s="5"/>
      <c r="L892" s="5"/>
      <c r="M892" s="32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  <c r="AG892" s="5"/>
      <c r="AH892" s="5"/>
      <c r="AI892" s="5"/>
      <c r="AJ892" s="5"/>
      <c r="AK892" s="5"/>
      <c r="AL892" s="5"/>
      <c r="AM892" s="5"/>
      <c r="AN892" s="5"/>
      <c r="AO892" s="5"/>
      <c r="AP892" s="5"/>
      <c r="AQ892" s="5"/>
      <c r="AR892" s="5"/>
      <c r="AS892" s="5"/>
      <c r="AT892" s="5"/>
      <c r="AU892" s="5"/>
      <c r="AV892" s="5"/>
      <c r="AW892" s="5"/>
      <c r="AX892" s="5"/>
      <c r="AY892" s="5"/>
      <c r="AZ892" s="5"/>
      <c r="BA892" s="5"/>
      <c r="BB892" s="5"/>
      <c r="BC892" s="5"/>
      <c r="BD892" s="5"/>
      <c r="BE892" s="5"/>
      <c r="BF892" s="5"/>
      <c r="BG892" s="5"/>
      <c r="BH892" s="5"/>
      <c r="BI892" s="5"/>
      <c r="BJ892" s="5"/>
      <c r="BK892" s="5"/>
      <c r="BL892" s="5"/>
      <c r="BM892" s="5"/>
      <c r="BN892" s="5"/>
      <c r="BO892" s="5"/>
      <c r="BP892" s="5"/>
      <c r="BQ892" s="5"/>
      <c r="BR892" s="5"/>
      <c r="BS892" s="5"/>
      <c r="BT892" s="5"/>
      <c r="BU892" s="5"/>
      <c r="BV892" s="5"/>
      <c r="BW892" s="5"/>
      <c r="BX892" s="5"/>
      <c r="BY892" s="5"/>
      <c r="BZ892" s="5"/>
      <c r="CA892" s="5"/>
      <c r="CB892" s="5"/>
      <c r="CC892" s="5"/>
      <c r="CD892" s="5"/>
      <c r="CE892" s="5"/>
      <c r="CF892" s="5"/>
      <c r="CG892" s="5"/>
      <c r="CH892" s="5"/>
      <c r="CI892" s="5"/>
    </row>
    <row r="893" ht="14.25" customHeight="1">
      <c r="B893" s="1"/>
      <c r="D893" s="1"/>
      <c r="E893" s="33"/>
      <c r="F893" s="34"/>
      <c r="G893" s="5"/>
      <c r="H893" s="5"/>
      <c r="I893" s="5"/>
      <c r="J893" s="5"/>
      <c r="K893" s="5"/>
      <c r="L893" s="5"/>
      <c r="M893" s="32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  <c r="AE893" s="5"/>
      <c r="AF893" s="5"/>
      <c r="AG893" s="5"/>
      <c r="AH893" s="5"/>
      <c r="AI893" s="5"/>
      <c r="AJ893" s="5"/>
      <c r="AK893" s="5"/>
      <c r="AL893" s="5"/>
      <c r="AM893" s="5"/>
      <c r="AN893" s="5"/>
      <c r="AO893" s="5"/>
      <c r="AP893" s="5"/>
      <c r="AQ893" s="5"/>
      <c r="AR893" s="5"/>
      <c r="AS893" s="5"/>
      <c r="AT893" s="5"/>
      <c r="AU893" s="5"/>
      <c r="AV893" s="5"/>
      <c r="AW893" s="5"/>
      <c r="AX893" s="5"/>
      <c r="AY893" s="5"/>
      <c r="AZ893" s="5"/>
      <c r="BA893" s="5"/>
      <c r="BB893" s="5"/>
      <c r="BC893" s="5"/>
      <c r="BD893" s="5"/>
      <c r="BE893" s="5"/>
      <c r="BF893" s="5"/>
      <c r="BG893" s="5"/>
      <c r="BH893" s="5"/>
      <c r="BI893" s="5"/>
      <c r="BJ893" s="5"/>
      <c r="BK893" s="5"/>
      <c r="BL893" s="5"/>
      <c r="BM893" s="5"/>
      <c r="BN893" s="5"/>
      <c r="BO893" s="5"/>
      <c r="BP893" s="5"/>
      <c r="BQ893" s="5"/>
      <c r="BR893" s="5"/>
      <c r="BS893" s="5"/>
      <c r="BT893" s="5"/>
      <c r="BU893" s="5"/>
      <c r="BV893" s="5"/>
      <c r="BW893" s="5"/>
      <c r="BX893" s="5"/>
      <c r="BY893" s="5"/>
      <c r="BZ893" s="5"/>
      <c r="CA893" s="5"/>
      <c r="CB893" s="5"/>
      <c r="CC893" s="5"/>
      <c r="CD893" s="5"/>
      <c r="CE893" s="5"/>
      <c r="CF893" s="5"/>
      <c r="CG893" s="5"/>
      <c r="CH893" s="5"/>
      <c r="CI893" s="5"/>
    </row>
    <row r="894" ht="14.25" customHeight="1">
      <c r="B894" s="1"/>
      <c r="D894" s="1"/>
      <c r="E894" s="33"/>
      <c r="F894" s="34"/>
      <c r="G894" s="5"/>
      <c r="H894" s="5"/>
      <c r="I894" s="5"/>
      <c r="J894" s="5"/>
      <c r="K894" s="5"/>
      <c r="L894" s="5"/>
      <c r="M894" s="32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  <c r="AG894" s="5"/>
      <c r="AH894" s="5"/>
      <c r="AI894" s="5"/>
      <c r="AJ894" s="5"/>
      <c r="AK894" s="5"/>
      <c r="AL894" s="5"/>
      <c r="AM894" s="5"/>
      <c r="AN894" s="5"/>
      <c r="AO894" s="5"/>
      <c r="AP894" s="5"/>
      <c r="AQ894" s="5"/>
      <c r="AR894" s="5"/>
      <c r="AS894" s="5"/>
      <c r="AT894" s="5"/>
      <c r="AU894" s="5"/>
      <c r="AV894" s="5"/>
      <c r="AW894" s="5"/>
      <c r="AX894" s="5"/>
      <c r="AY894" s="5"/>
      <c r="AZ894" s="5"/>
      <c r="BA894" s="5"/>
      <c r="BB894" s="5"/>
      <c r="BC894" s="5"/>
      <c r="BD894" s="5"/>
      <c r="BE894" s="5"/>
      <c r="BF894" s="5"/>
      <c r="BG894" s="5"/>
      <c r="BH894" s="5"/>
      <c r="BI894" s="5"/>
      <c r="BJ894" s="5"/>
      <c r="BK894" s="5"/>
      <c r="BL894" s="5"/>
      <c r="BM894" s="5"/>
      <c r="BN894" s="5"/>
      <c r="BO894" s="5"/>
      <c r="BP894" s="5"/>
      <c r="BQ894" s="5"/>
      <c r="BR894" s="5"/>
      <c r="BS894" s="5"/>
      <c r="BT894" s="5"/>
      <c r="BU894" s="5"/>
      <c r="BV894" s="5"/>
      <c r="BW894" s="5"/>
      <c r="BX894" s="5"/>
      <c r="BY894" s="5"/>
      <c r="BZ894" s="5"/>
      <c r="CA894" s="5"/>
      <c r="CB894" s="5"/>
      <c r="CC894" s="5"/>
      <c r="CD894" s="5"/>
      <c r="CE894" s="5"/>
      <c r="CF894" s="5"/>
      <c r="CG894" s="5"/>
      <c r="CH894" s="5"/>
      <c r="CI894" s="5"/>
    </row>
    <row r="895" ht="14.25" customHeight="1">
      <c r="B895" s="1"/>
      <c r="D895" s="1"/>
      <c r="E895" s="33"/>
      <c r="F895" s="34"/>
      <c r="G895" s="5"/>
      <c r="H895" s="5"/>
      <c r="I895" s="5"/>
      <c r="J895" s="5"/>
      <c r="K895" s="5"/>
      <c r="L895" s="5"/>
      <c r="M895" s="32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  <c r="AG895" s="5"/>
      <c r="AH895" s="5"/>
      <c r="AI895" s="5"/>
      <c r="AJ895" s="5"/>
      <c r="AK895" s="5"/>
      <c r="AL895" s="5"/>
      <c r="AM895" s="5"/>
      <c r="AN895" s="5"/>
      <c r="AO895" s="5"/>
      <c r="AP895" s="5"/>
      <c r="AQ895" s="5"/>
      <c r="AR895" s="5"/>
      <c r="AS895" s="5"/>
      <c r="AT895" s="5"/>
      <c r="AU895" s="5"/>
      <c r="AV895" s="5"/>
      <c r="AW895" s="5"/>
      <c r="AX895" s="5"/>
      <c r="AY895" s="5"/>
      <c r="AZ895" s="5"/>
      <c r="BA895" s="5"/>
      <c r="BB895" s="5"/>
      <c r="BC895" s="5"/>
      <c r="BD895" s="5"/>
      <c r="BE895" s="5"/>
      <c r="BF895" s="5"/>
      <c r="BG895" s="5"/>
      <c r="BH895" s="5"/>
      <c r="BI895" s="5"/>
      <c r="BJ895" s="5"/>
      <c r="BK895" s="5"/>
      <c r="BL895" s="5"/>
      <c r="BM895" s="5"/>
      <c r="BN895" s="5"/>
      <c r="BO895" s="5"/>
      <c r="BP895" s="5"/>
      <c r="BQ895" s="5"/>
      <c r="BR895" s="5"/>
      <c r="BS895" s="5"/>
      <c r="BT895" s="5"/>
      <c r="BU895" s="5"/>
      <c r="BV895" s="5"/>
      <c r="BW895" s="5"/>
      <c r="BX895" s="5"/>
      <c r="BY895" s="5"/>
      <c r="BZ895" s="5"/>
      <c r="CA895" s="5"/>
      <c r="CB895" s="5"/>
      <c r="CC895" s="5"/>
      <c r="CD895" s="5"/>
      <c r="CE895" s="5"/>
      <c r="CF895" s="5"/>
      <c r="CG895" s="5"/>
      <c r="CH895" s="5"/>
      <c r="CI895" s="5"/>
    </row>
    <row r="896" ht="14.25" customHeight="1">
      <c r="B896" s="1"/>
      <c r="D896" s="1"/>
      <c r="E896" s="33"/>
      <c r="F896" s="34"/>
      <c r="G896" s="5"/>
      <c r="H896" s="5"/>
      <c r="I896" s="5"/>
      <c r="J896" s="5"/>
      <c r="K896" s="5"/>
      <c r="L896" s="5"/>
      <c r="M896" s="32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  <c r="AE896" s="5"/>
      <c r="AF896" s="5"/>
      <c r="AG896" s="5"/>
      <c r="AH896" s="5"/>
      <c r="AI896" s="5"/>
      <c r="AJ896" s="5"/>
      <c r="AK896" s="5"/>
      <c r="AL896" s="5"/>
      <c r="AM896" s="5"/>
      <c r="AN896" s="5"/>
      <c r="AO896" s="5"/>
      <c r="AP896" s="5"/>
      <c r="AQ896" s="5"/>
      <c r="AR896" s="5"/>
      <c r="AS896" s="5"/>
      <c r="AT896" s="5"/>
      <c r="AU896" s="5"/>
      <c r="AV896" s="5"/>
      <c r="AW896" s="5"/>
      <c r="AX896" s="5"/>
      <c r="AY896" s="5"/>
      <c r="AZ896" s="5"/>
      <c r="BA896" s="5"/>
      <c r="BB896" s="5"/>
      <c r="BC896" s="5"/>
      <c r="BD896" s="5"/>
      <c r="BE896" s="5"/>
      <c r="BF896" s="5"/>
      <c r="BG896" s="5"/>
      <c r="BH896" s="5"/>
      <c r="BI896" s="5"/>
      <c r="BJ896" s="5"/>
      <c r="BK896" s="5"/>
      <c r="BL896" s="5"/>
      <c r="BM896" s="5"/>
      <c r="BN896" s="5"/>
      <c r="BO896" s="5"/>
      <c r="BP896" s="5"/>
      <c r="BQ896" s="5"/>
      <c r="BR896" s="5"/>
      <c r="BS896" s="5"/>
      <c r="BT896" s="5"/>
      <c r="BU896" s="5"/>
      <c r="BV896" s="5"/>
      <c r="BW896" s="5"/>
      <c r="BX896" s="5"/>
      <c r="BY896" s="5"/>
      <c r="BZ896" s="5"/>
      <c r="CA896" s="5"/>
      <c r="CB896" s="5"/>
      <c r="CC896" s="5"/>
      <c r="CD896" s="5"/>
      <c r="CE896" s="5"/>
      <c r="CF896" s="5"/>
      <c r="CG896" s="5"/>
      <c r="CH896" s="5"/>
      <c r="CI896" s="5"/>
    </row>
    <row r="897" ht="14.25" customHeight="1">
      <c r="B897" s="1"/>
      <c r="D897" s="1"/>
      <c r="E897" s="33"/>
      <c r="F897" s="34"/>
      <c r="G897" s="5"/>
      <c r="H897" s="5"/>
      <c r="I897" s="5"/>
      <c r="J897" s="5"/>
      <c r="K897" s="5"/>
      <c r="L897" s="5"/>
      <c r="M897" s="32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  <c r="AE897" s="5"/>
      <c r="AF897" s="5"/>
      <c r="AG897" s="5"/>
      <c r="AH897" s="5"/>
      <c r="AI897" s="5"/>
      <c r="AJ897" s="5"/>
      <c r="AK897" s="5"/>
      <c r="AL897" s="5"/>
      <c r="AM897" s="5"/>
      <c r="AN897" s="5"/>
      <c r="AO897" s="5"/>
      <c r="AP897" s="5"/>
      <c r="AQ897" s="5"/>
      <c r="AR897" s="5"/>
      <c r="AS897" s="5"/>
      <c r="AT897" s="5"/>
      <c r="AU897" s="5"/>
      <c r="AV897" s="5"/>
      <c r="AW897" s="5"/>
      <c r="AX897" s="5"/>
      <c r="AY897" s="5"/>
      <c r="AZ897" s="5"/>
      <c r="BA897" s="5"/>
      <c r="BB897" s="5"/>
      <c r="BC897" s="5"/>
      <c r="BD897" s="5"/>
      <c r="BE897" s="5"/>
      <c r="BF897" s="5"/>
      <c r="BG897" s="5"/>
      <c r="BH897" s="5"/>
      <c r="BI897" s="5"/>
      <c r="BJ897" s="5"/>
      <c r="BK897" s="5"/>
      <c r="BL897" s="5"/>
      <c r="BM897" s="5"/>
      <c r="BN897" s="5"/>
      <c r="BO897" s="5"/>
      <c r="BP897" s="5"/>
      <c r="BQ897" s="5"/>
      <c r="BR897" s="5"/>
      <c r="BS897" s="5"/>
      <c r="BT897" s="5"/>
      <c r="BU897" s="5"/>
      <c r="BV897" s="5"/>
      <c r="BW897" s="5"/>
      <c r="BX897" s="5"/>
      <c r="BY897" s="5"/>
      <c r="BZ897" s="5"/>
      <c r="CA897" s="5"/>
      <c r="CB897" s="5"/>
      <c r="CC897" s="5"/>
      <c r="CD897" s="5"/>
      <c r="CE897" s="5"/>
      <c r="CF897" s="5"/>
      <c r="CG897" s="5"/>
      <c r="CH897" s="5"/>
      <c r="CI897" s="5"/>
    </row>
    <row r="898" ht="14.25" customHeight="1">
      <c r="B898" s="1"/>
      <c r="D898" s="1"/>
      <c r="E898" s="33"/>
      <c r="F898" s="34"/>
      <c r="G898" s="5"/>
      <c r="H898" s="5"/>
      <c r="I898" s="5"/>
      <c r="J898" s="5"/>
      <c r="K898" s="5"/>
      <c r="L898" s="5"/>
      <c r="M898" s="32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  <c r="AG898" s="5"/>
      <c r="AH898" s="5"/>
      <c r="AI898" s="5"/>
      <c r="AJ898" s="5"/>
      <c r="AK898" s="5"/>
      <c r="AL898" s="5"/>
      <c r="AM898" s="5"/>
      <c r="AN898" s="5"/>
      <c r="AO898" s="5"/>
      <c r="AP898" s="5"/>
      <c r="AQ898" s="5"/>
      <c r="AR898" s="5"/>
      <c r="AS898" s="5"/>
      <c r="AT898" s="5"/>
      <c r="AU898" s="5"/>
      <c r="AV898" s="5"/>
      <c r="AW898" s="5"/>
      <c r="AX898" s="5"/>
      <c r="AY898" s="5"/>
      <c r="AZ898" s="5"/>
      <c r="BA898" s="5"/>
      <c r="BB898" s="5"/>
      <c r="BC898" s="5"/>
      <c r="BD898" s="5"/>
      <c r="BE898" s="5"/>
      <c r="BF898" s="5"/>
      <c r="BG898" s="5"/>
      <c r="BH898" s="5"/>
      <c r="BI898" s="5"/>
      <c r="BJ898" s="5"/>
      <c r="BK898" s="5"/>
      <c r="BL898" s="5"/>
      <c r="BM898" s="5"/>
      <c r="BN898" s="5"/>
      <c r="BO898" s="5"/>
      <c r="BP898" s="5"/>
      <c r="BQ898" s="5"/>
      <c r="BR898" s="5"/>
      <c r="BS898" s="5"/>
      <c r="BT898" s="5"/>
      <c r="BU898" s="5"/>
      <c r="BV898" s="5"/>
      <c r="BW898" s="5"/>
      <c r="BX898" s="5"/>
      <c r="BY898" s="5"/>
      <c r="BZ898" s="5"/>
      <c r="CA898" s="5"/>
      <c r="CB898" s="5"/>
      <c r="CC898" s="5"/>
      <c r="CD898" s="5"/>
      <c r="CE898" s="5"/>
      <c r="CF898" s="5"/>
      <c r="CG898" s="5"/>
      <c r="CH898" s="5"/>
      <c r="CI898" s="5"/>
    </row>
    <row r="899" ht="14.25" customHeight="1">
      <c r="B899" s="1"/>
      <c r="D899" s="1"/>
      <c r="E899" s="33"/>
      <c r="F899" s="34"/>
      <c r="G899" s="5"/>
      <c r="H899" s="5"/>
      <c r="I899" s="5"/>
      <c r="J899" s="5"/>
      <c r="K899" s="5"/>
      <c r="L899" s="5"/>
      <c r="M899" s="32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  <c r="AG899" s="5"/>
      <c r="AH899" s="5"/>
      <c r="AI899" s="5"/>
      <c r="AJ899" s="5"/>
      <c r="AK899" s="5"/>
      <c r="AL899" s="5"/>
      <c r="AM899" s="5"/>
      <c r="AN899" s="5"/>
      <c r="AO899" s="5"/>
      <c r="AP899" s="5"/>
      <c r="AQ899" s="5"/>
      <c r="AR899" s="5"/>
      <c r="AS899" s="5"/>
      <c r="AT899" s="5"/>
      <c r="AU899" s="5"/>
      <c r="AV899" s="5"/>
      <c r="AW899" s="5"/>
      <c r="AX899" s="5"/>
      <c r="AY899" s="5"/>
      <c r="AZ899" s="5"/>
      <c r="BA899" s="5"/>
      <c r="BB899" s="5"/>
      <c r="BC899" s="5"/>
      <c r="BD899" s="5"/>
      <c r="BE899" s="5"/>
      <c r="BF899" s="5"/>
      <c r="BG899" s="5"/>
      <c r="BH899" s="5"/>
      <c r="BI899" s="5"/>
      <c r="BJ899" s="5"/>
      <c r="BK899" s="5"/>
      <c r="BL899" s="5"/>
      <c r="BM899" s="5"/>
      <c r="BN899" s="5"/>
      <c r="BO899" s="5"/>
      <c r="BP899" s="5"/>
      <c r="BQ899" s="5"/>
      <c r="BR899" s="5"/>
      <c r="BS899" s="5"/>
      <c r="BT899" s="5"/>
      <c r="BU899" s="5"/>
      <c r="BV899" s="5"/>
      <c r="BW899" s="5"/>
      <c r="BX899" s="5"/>
      <c r="BY899" s="5"/>
      <c r="BZ899" s="5"/>
      <c r="CA899" s="5"/>
      <c r="CB899" s="5"/>
      <c r="CC899" s="5"/>
      <c r="CD899" s="5"/>
      <c r="CE899" s="5"/>
      <c r="CF899" s="5"/>
      <c r="CG899" s="5"/>
      <c r="CH899" s="5"/>
      <c r="CI899" s="5"/>
    </row>
    <row r="900" ht="14.25" customHeight="1">
      <c r="B900" s="1"/>
      <c r="D900" s="1"/>
      <c r="E900" s="33"/>
      <c r="F900" s="34"/>
      <c r="G900" s="5"/>
      <c r="H900" s="5"/>
      <c r="I900" s="5"/>
      <c r="J900" s="5"/>
      <c r="K900" s="5"/>
      <c r="L900" s="5"/>
      <c r="M900" s="32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  <c r="AE900" s="5"/>
      <c r="AF900" s="5"/>
      <c r="AG900" s="5"/>
      <c r="AH900" s="5"/>
      <c r="AI900" s="5"/>
      <c r="AJ900" s="5"/>
      <c r="AK900" s="5"/>
      <c r="AL900" s="5"/>
      <c r="AM900" s="5"/>
      <c r="AN900" s="5"/>
      <c r="AO900" s="5"/>
      <c r="AP900" s="5"/>
      <c r="AQ900" s="5"/>
      <c r="AR900" s="5"/>
      <c r="AS900" s="5"/>
      <c r="AT900" s="5"/>
      <c r="AU900" s="5"/>
      <c r="AV900" s="5"/>
      <c r="AW900" s="5"/>
      <c r="AX900" s="5"/>
      <c r="AY900" s="5"/>
      <c r="AZ900" s="5"/>
      <c r="BA900" s="5"/>
      <c r="BB900" s="5"/>
      <c r="BC900" s="5"/>
      <c r="BD900" s="5"/>
      <c r="BE900" s="5"/>
      <c r="BF900" s="5"/>
      <c r="BG900" s="5"/>
      <c r="BH900" s="5"/>
      <c r="BI900" s="5"/>
      <c r="BJ900" s="5"/>
      <c r="BK900" s="5"/>
      <c r="BL900" s="5"/>
      <c r="BM900" s="5"/>
      <c r="BN900" s="5"/>
      <c r="BO900" s="5"/>
      <c r="BP900" s="5"/>
      <c r="BQ900" s="5"/>
      <c r="BR900" s="5"/>
      <c r="BS900" s="5"/>
      <c r="BT900" s="5"/>
      <c r="BU900" s="5"/>
      <c r="BV900" s="5"/>
      <c r="BW900" s="5"/>
      <c r="BX900" s="5"/>
      <c r="BY900" s="5"/>
      <c r="BZ900" s="5"/>
      <c r="CA900" s="5"/>
      <c r="CB900" s="5"/>
      <c r="CC900" s="5"/>
      <c r="CD900" s="5"/>
      <c r="CE900" s="5"/>
      <c r="CF900" s="5"/>
      <c r="CG900" s="5"/>
      <c r="CH900" s="5"/>
      <c r="CI900" s="5"/>
    </row>
    <row r="901" ht="14.25" customHeight="1">
      <c r="B901" s="1"/>
      <c r="D901" s="1"/>
      <c r="E901" s="33"/>
      <c r="F901" s="34"/>
      <c r="G901" s="5"/>
      <c r="H901" s="5"/>
      <c r="I901" s="5"/>
      <c r="J901" s="5"/>
      <c r="K901" s="5"/>
      <c r="L901" s="5"/>
      <c r="M901" s="32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  <c r="AG901" s="5"/>
      <c r="AH901" s="5"/>
      <c r="AI901" s="5"/>
      <c r="AJ901" s="5"/>
      <c r="AK901" s="5"/>
      <c r="AL901" s="5"/>
      <c r="AM901" s="5"/>
      <c r="AN901" s="5"/>
      <c r="AO901" s="5"/>
      <c r="AP901" s="5"/>
      <c r="AQ901" s="5"/>
      <c r="AR901" s="5"/>
      <c r="AS901" s="5"/>
      <c r="AT901" s="5"/>
      <c r="AU901" s="5"/>
      <c r="AV901" s="5"/>
      <c r="AW901" s="5"/>
      <c r="AX901" s="5"/>
      <c r="AY901" s="5"/>
      <c r="AZ901" s="5"/>
      <c r="BA901" s="5"/>
      <c r="BB901" s="5"/>
      <c r="BC901" s="5"/>
      <c r="BD901" s="5"/>
      <c r="BE901" s="5"/>
      <c r="BF901" s="5"/>
      <c r="BG901" s="5"/>
      <c r="BH901" s="5"/>
      <c r="BI901" s="5"/>
      <c r="BJ901" s="5"/>
      <c r="BK901" s="5"/>
      <c r="BL901" s="5"/>
      <c r="BM901" s="5"/>
      <c r="BN901" s="5"/>
      <c r="BO901" s="5"/>
      <c r="BP901" s="5"/>
      <c r="BQ901" s="5"/>
      <c r="BR901" s="5"/>
      <c r="BS901" s="5"/>
      <c r="BT901" s="5"/>
      <c r="BU901" s="5"/>
      <c r="BV901" s="5"/>
      <c r="BW901" s="5"/>
      <c r="BX901" s="5"/>
      <c r="BY901" s="5"/>
      <c r="BZ901" s="5"/>
      <c r="CA901" s="5"/>
      <c r="CB901" s="5"/>
      <c r="CC901" s="5"/>
      <c r="CD901" s="5"/>
      <c r="CE901" s="5"/>
      <c r="CF901" s="5"/>
      <c r="CG901" s="5"/>
      <c r="CH901" s="5"/>
      <c r="CI901" s="5"/>
    </row>
    <row r="902" ht="14.25" customHeight="1">
      <c r="B902" s="1"/>
      <c r="D902" s="1"/>
      <c r="E902" s="33"/>
      <c r="F902" s="34"/>
      <c r="G902" s="5"/>
      <c r="H902" s="5"/>
      <c r="I902" s="5"/>
      <c r="J902" s="5"/>
      <c r="K902" s="5"/>
      <c r="L902" s="5"/>
      <c r="M902" s="32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  <c r="AG902" s="5"/>
      <c r="AH902" s="5"/>
      <c r="AI902" s="5"/>
      <c r="AJ902" s="5"/>
      <c r="AK902" s="5"/>
      <c r="AL902" s="5"/>
      <c r="AM902" s="5"/>
      <c r="AN902" s="5"/>
      <c r="AO902" s="5"/>
      <c r="AP902" s="5"/>
      <c r="AQ902" s="5"/>
      <c r="AR902" s="5"/>
      <c r="AS902" s="5"/>
      <c r="AT902" s="5"/>
      <c r="AU902" s="5"/>
      <c r="AV902" s="5"/>
      <c r="AW902" s="5"/>
      <c r="AX902" s="5"/>
      <c r="AY902" s="5"/>
      <c r="AZ902" s="5"/>
      <c r="BA902" s="5"/>
      <c r="BB902" s="5"/>
      <c r="BC902" s="5"/>
      <c r="BD902" s="5"/>
      <c r="BE902" s="5"/>
      <c r="BF902" s="5"/>
      <c r="BG902" s="5"/>
      <c r="BH902" s="5"/>
      <c r="BI902" s="5"/>
      <c r="BJ902" s="5"/>
      <c r="BK902" s="5"/>
      <c r="BL902" s="5"/>
      <c r="BM902" s="5"/>
      <c r="BN902" s="5"/>
      <c r="BO902" s="5"/>
      <c r="BP902" s="5"/>
      <c r="BQ902" s="5"/>
      <c r="BR902" s="5"/>
      <c r="BS902" s="5"/>
      <c r="BT902" s="5"/>
      <c r="BU902" s="5"/>
      <c r="BV902" s="5"/>
      <c r="BW902" s="5"/>
      <c r="BX902" s="5"/>
      <c r="BY902" s="5"/>
      <c r="BZ902" s="5"/>
      <c r="CA902" s="5"/>
      <c r="CB902" s="5"/>
      <c r="CC902" s="5"/>
      <c r="CD902" s="5"/>
      <c r="CE902" s="5"/>
      <c r="CF902" s="5"/>
      <c r="CG902" s="5"/>
      <c r="CH902" s="5"/>
      <c r="CI902" s="5"/>
    </row>
    <row r="903" ht="14.25" customHeight="1">
      <c r="B903" s="1"/>
      <c r="D903" s="1"/>
      <c r="E903" s="33"/>
      <c r="F903" s="34"/>
      <c r="G903" s="5"/>
      <c r="H903" s="5"/>
      <c r="I903" s="5"/>
      <c r="J903" s="5"/>
      <c r="K903" s="5"/>
      <c r="L903" s="5"/>
      <c r="M903" s="32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  <c r="AG903" s="5"/>
      <c r="AH903" s="5"/>
      <c r="AI903" s="5"/>
      <c r="AJ903" s="5"/>
      <c r="AK903" s="5"/>
      <c r="AL903" s="5"/>
      <c r="AM903" s="5"/>
      <c r="AN903" s="5"/>
      <c r="AO903" s="5"/>
      <c r="AP903" s="5"/>
      <c r="AQ903" s="5"/>
      <c r="AR903" s="5"/>
      <c r="AS903" s="5"/>
      <c r="AT903" s="5"/>
      <c r="AU903" s="5"/>
      <c r="AV903" s="5"/>
      <c r="AW903" s="5"/>
      <c r="AX903" s="5"/>
      <c r="AY903" s="5"/>
      <c r="AZ903" s="5"/>
      <c r="BA903" s="5"/>
      <c r="BB903" s="5"/>
      <c r="BC903" s="5"/>
      <c r="BD903" s="5"/>
      <c r="BE903" s="5"/>
      <c r="BF903" s="5"/>
      <c r="BG903" s="5"/>
      <c r="BH903" s="5"/>
      <c r="BI903" s="5"/>
      <c r="BJ903" s="5"/>
      <c r="BK903" s="5"/>
      <c r="BL903" s="5"/>
      <c r="BM903" s="5"/>
      <c r="BN903" s="5"/>
      <c r="BO903" s="5"/>
      <c r="BP903" s="5"/>
      <c r="BQ903" s="5"/>
      <c r="BR903" s="5"/>
      <c r="BS903" s="5"/>
      <c r="BT903" s="5"/>
      <c r="BU903" s="5"/>
      <c r="BV903" s="5"/>
      <c r="BW903" s="5"/>
      <c r="BX903" s="5"/>
      <c r="BY903" s="5"/>
      <c r="BZ903" s="5"/>
      <c r="CA903" s="5"/>
      <c r="CB903" s="5"/>
      <c r="CC903" s="5"/>
      <c r="CD903" s="5"/>
      <c r="CE903" s="5"/>
      <c r="CF903" s="5"/>
      <c r="CG903" s="5"/>
      <c r="CH903" s="5"/>
      <c r="CI903" s="5"/>
    </row>
    <row r="904" ht="14.25" customHeight="1">
      <c r="B904" s="1"/>
      <c r="D904" s="1"/>
      <c r="E904" s="33"/>
      <c r="F904" s="34"/>
      <c r="G904" s="5"/>
      <c r="H904" s="5"/>
      <c r="I904" s="5"/>
      <c r="J904" s="5"/>
      <c r="K904" s="5"/>
      <c r="L904" s="5"/>
      <c r="M904" s="32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  <c r="AG904" s="5"/>
      <c r="AH904" s="5"/>
      <c r="AI904" s="5"/>
      <c r="AJ904" s="5"/>
      <c r="AK904" s="5"/>
      <c r="AL904" s="5"/>
      <c r="AM904" s="5"/>
      <c r="AN904" s="5"/>
      <c r="AO904" s="5"/>
      <c r="AP904" s="5"/>
      <c r="AQ904" s="5"/>
      <c r="AR904" s="5"/>
      <c r="AS904" s="5"/>
      <c r="AT904" s="5"/>
      <c r="AU904" s="5"/>
      <c r="AV904" s="5"/>
      <c r="AW904" s="5"/>
      <c r="AX904" s="5"/>
      <c r="AY904" s="5"/>
      <c r="AZ904" s="5"/>
      <c r="BA904" s="5"/>
      <c r="BB904" s="5"/>
      <c r="BC904" s="5"/>
      <c r="BD904" s="5"/>
      <c r="BE904" s="5"/>
      <c r="BF904" s="5"/>
      <c r="BG904" s="5"/>
      <c r="BH904" s="5"/>
      <c r="BI904" s="5"/>
      <c r="BJ904" s="5"/>
      <c r="BK904" s="5"/>
      <c r="BL904" s="5"/>
      <c r="BM904" s="5"/>
      <c r="BN904" s="5"/>
      <c r="BO904" s="5"/>
      <c r="BP904" s="5"/>
      <c r="BQ904" s="5"/>
      <c r="BR904" s="5"/>
      <c r="BS904" s="5"/>
      <c r="BT904" s="5"/>
      <c r="BU904" s="5"/>
      <c r="BV904" s="5"/>
      <c r="BW904" s="5"/>
      <c r="BX904" s="5"/>
      <c r="BY904" s="5"/>
      <c r="BZ904" s="5"/>
      <c r="CA904" s="5"/>
      <c r="CB904" s="5"/>
      <c r="CC904" s="5"/>
      <c r="CD904" s="5"/>
      <c r="CE904" s="5"/>
      <c r="CF904" s="5"/>
      <c r="CG904" s="5"/>
      <c r="CH904" s="5"/>
      <c r="CI904" s="5"/>
    </row>
    <row r="905" ht="14.25" customHeight="1">
      <c r="B905" s="1"/>
      <c r="D905" s="1"/>
      <c r="E905" s="33"/>
      <c r="F905" s="34"/>
      <c r="G905" s="5"/>
      <c r="H905" s="5"/>
      <c r="I905" s="5"/>
      <c r="J905" s="5"/>
      <c r="K905" s="5"/>
      <c r="L905" s="5"/>
      <c r="M905" s="32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  <c r="AG905" s="5"/>
      <c r="AH905" s="5"/>
      <c r="AI905" s="5"/>
      <c r="AJ905" s="5"/>
      <c r="AK905" s="5"/>
      <c r="AL905" s="5"/>
      <c r="AM905" s="5"/>
      <c r="AN905" s="5"/>
      <c r="AO905" s="5"/>
      <c r="AP905" s="5"/>
      <c r="AQ905" s="5"/>
      <c r="AR905" s="5"/>
      <c r="AS905" s="5"/>
      <c r="AT905" s="5"/>
      <c r="AU905" s="5"/>
      <c r="AV905" s="5"/>
      <c r="AW905" s="5"/>
      <c r="AX905" s="5"/>
      <c r="AY905" s="5"/>
      <c r="AZ905" s="5"/>
      <c r="BA905" s="5"/>
      <c r="BB905" s="5"/>
      <c r="BC905" s="5"/>
      <c r="BD905" s="5"/>
      <c r="BE905" s="5"/>
      <c r="BF905" s="5"/>
      <c r="BG905" s="5"/>
      <c r="BH905" s="5"/>
      <c r="BI905" s="5"/>
      <c r="BJ905" s="5"/>
      <c r="BK905" s="5"/>
      <c r="BL905" s="5"/>
      <c r="BM905" s="5"/>
      <c r="BN905" s="5"/>
      <c r="BO905" s="5"/>
      <c r="BP905" s="5"/>
      <c r="BQ905" s="5"/>
      <c r="BR905" s="5"/>
      <c r="BS905" s="5"/>
      <c r="BT905" s="5"/>
      <c r="BU905" s="5"/>
      <c r="BV905" s="5"/>
      <c r="BW905" s="5"/>
      <c r="BX905" s="5"/>
      <c r="BY905" s="5"/>
      <c r="BZ905" s="5"/>
      <c r="CA905" s="5"/>
      <c r="CB905" s="5"/>
      <c r="CC905" s="5"/>
      <c r="CD905" s="5"/>
      <c r="CE905" s="5"/>
      <c r="CF905" s="5"/>
      <c r="CG905" s="5"/>
      <c r="CH905" s="5"/>
      <c r="CI905" s="5"/>
    </row>
    <row r="906" ht="14.25" customHeight="1">
      <c r="B906" s="1"/>
      <c r="D906" s="1"/>
      <c r="E906" s="33"/>
      <c r="F906" s="34"/>
      <c r="G906" s="5"/>
      <c r="H906" s="5"/>
      <c r="I906" s="5"/>
      <c r="J906" s="5"/>
      <c r="K906" s="5"/>
      <c r="L906" s="5"/>
      <c r="M906" s="32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  <c r="AG906" s="5"/>
      <c r="AH906" s="5"/>
      <c r="AI906" s="5"/>
      <c r="AJ906" s="5"/>
      <c r="AK906" s="5"/>
      <c r="AL906" s="5"/>
      <c r="AM906" s="5"/>
      <c r="AN906" s="5"/>
      <c r="AO906" s="5"/>
      <c r="AP906" s="5"/>
      <c r="AQ906" s="5"/>
      <c r="AR906" s="5"/>
      <c r="AS906" s="5"/>
      <c r="AT906" s="5"/>
      <c r="AU906" s="5"/>
      <c r="AV906" s="5"/>
      <c r="AW906" s="5"/>
      <c r="AX906" s="5"/>
      <c r="AY906" s="5"/>
      <c r="AZ906" s="5"/>
      <c r="BA906" s="5"/>
      <c r="BB906" s="5"/>
      <c r="BC906" s="5"/>
      <c r="BD906" s="5"/>
      <c r="BE906" s="5"/>
      <c r="BF906" s="5"/>
      <c r="BG906" s="5"/>
      <c r="BH906" s="5"/>
      <c r="BI906" s="5"/>
      <c r="BJ906" s="5"/>
      <c r="BK906" s="5"/>
      <c r="BL906" s="5"/>
      <c r="BM906" s="5"/>
      <c r="BN906" s="5"/>
      <c r="BO906" s="5"/>
      <c r="BP906" s="5"/>
      <c r="BQ906" s="5"/>
      <c r="BR906" s="5"/>
      <c r="BS906" s="5"/>
      <c r="BT906" s="5"/>
      <c r="BU906" s="5"/>
      <c r="BV906" s="5"/>
      <c r="BW906" s="5"/>
      <c r="BX906" s="5"/>
      <c r="BY906" s="5"/>
      <c r="BZ906" s="5"/>
      <c r="CA906" s="5"/>
      <c r="CB906" s="5"/>
      <c r="CC906" s="5"/>
      <c r="CD906" s="5"/>
      <c r="CE906" s="5"/>
      <c r="CF906" s="5"/>
      <c r="CG906" s="5"/>
      <c r="CH906" s="5"/>
      <c r="CI906" s="5"/>
    </row>
    <row r="907" ht="14.25" customHeight="1">
      <c r="B907" s="1"/>
      <c r="D907" s="1"/>
      <c r="E907" s="33"/>
      <c r="F907" s="34"/>
      <c r="G907" s="5"/>
      <c r="H907" s="5"/>
      <c r="I907" s="5"/>
      <c r="J907" s="5"/>
      <c r="K907" s="5"/>
      <c r="L907" s="5"/>
      <c r="M907" s="32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  <c r="AG907" s="5"/>
      <c r="AH907" s="5"/>
      <c r="AI907" s="5"/>
      <c r="AJ907" s="5"/>
      <c r="AK907" s="5"/>
      <c r="AL907" s="5"/>
      <c r="AM907" s="5"/>
      <c r="AN907" s="5"/>
      <c r="AO907" s="5"/>
      <c r="AP907" s="5"/>
      <c r="AQ907" s="5"/>
      <c r="AR907" s="5"/>
      <c r="AS907" s="5"/>
      <c r="AT907" s="5"/>
      <c r="AU907" s="5"/>
      <c r="AV907" s="5"/>
      <c r="AW907" s="5"/>
      <c r="AX907" s="5"/>
      <c r="AY907" s="5"/>
      <c r="AZ907" s="5"/>
      <c r="BA907" s="5"/>
      <c r="BB907" s="5"/>
      <c r="BC907" s="5"/>
      <c r="BD907" s="5"/>
      <c r="BE907" s="5"/>
      <c r="BF907" s="5"/>
      <c r="BG907" s="5"/>
      <c r="BH907" s="5"/>
      <c r="BI907" s="5"/>
      <c r="BJ907" s="5"/>
      <c r="BK907" s="5"/>
      <c r="BL907" s="5"/>
      <c r="BM907" s="5"/>
      <c r="BN907" s="5"/>
      <c r="BO907" s="5"/>
      <c r="BP907" s="5"/>
      <c r="BQ907" s="5"/>
      <c r="BR907" s="5"/>
      <c r="BS907" s="5"/>
      <c r="BT907" s="5"/>
      <c r="BU907" s="5"/>
      <c r="BV907" s="5"/>
      <c r="BW907" s="5"/>
      <c r="BX907" s="5"/>
      <c r="BY907" s="5"/>
      <c r="BZ907" s="5"/>
      <c r="CA907" s="5"/>
      <c r="CB907" s="5"/>
      <c r="CC907" s="5"/>
      <c r="CD907" s="5"/>
      <c r="CE907" s="5"/>
      <c r="CF907" s="5"/>
      <c r="CG907" s="5"/>
      <c r="CH907" s="5"/>
      <c r="CI907" s="5"/>
    </row>
    <row r="908" ht="14.25" customHeight="1">
      <c r="B908" s="1"/>
      <c r="D908" s="1"/>
      <c r="E908" s="33"/>
      <c r="F908" s="34"/>
      <c r="G908" s="5"/>
      <c r="H908" s="5"/>
      <c r="I908" s="5"/>
      <c r="J908" s="5"/>
      <c r="K908" s="5"/>
      <c r="L908" s="5"/>
      <c r="M908" s="32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  <c r="AE908" s="5"/>
      <c r="AF908" s="5"/>
      <c r="AG908" s="5"/>
      <c r="AH908" s="5"/>
      <c r="AI908" s="5"/>
      <c r="AJ908" s="5"/>
      <c r="AK908" s="5"/>
      <c r="AL908" s="5"/>
      <c r="AM908" s="5"/>
      <c r="AN908" s="5"/>
      <c r="AO908" s="5"/>
      <c r="AP908" s="5"/>
      <c r="AQ908" s="5"/>
      <c r="AR908" s="5"/>
      <c r="AS908" s="5"/>
      <c r="AT908" s="5"/>
      <c r="AU908" s="5"/>
      <c r="AV908" s="5"/>
      <c r="AW908" s="5"/>
      <c r="AX908" s="5"/>
      <c r="AY908" s="5"/>
      <c r="AZ908" s="5"/>
      <c r="BA908" s="5"/>
      <c r="BB908" s="5"/>
      <c r="BC908" s="5"/>
      <c r="BD908" s="5"/>
      <c r="BE908" s="5"/>
      <c r="BF908" s="5"/>
      <c r="BG908" s="5"/>
      <c r="BH908" s="5"/>
      <c r="BI908" s="5"/>
      <c r="BJ908" s="5"/>
      <c r="BK908" s="5"/>
      <c r="BL908" s="5"/>
      <c r="BM908" s="5"/>
      <c r="BN908" s="5"/>
      <c r="BO908" s="5"/>
      <c r="BP908" s="5"/>
      <c r="BQ908" s="5"/>
      <c r="BR908" s="5"/>
      <c r="BS908" s="5"/>
      <c r="BT908" s="5"/>
      <c r="BU908" s="5"/>
      <c r="BV908" s="5"/>
      <c r="BW908" s="5"/>
      <c r="BX908" s="5"/>
      <c r="BY908" s="5"/>
      <c r="BZ908" s="5"/>
      <c r="CA908" s="5"/>
      <c r="CB908" s="5"/>
      <c r="CC908" s="5"/>
      <c r="CD908" s="5"/>
      <c r="CE908" s="5"/>
      <c r="CF908" s="5"/>
      <c r="CG908" s="5"/>
      <c r="CH908" s="5"/>
      <c r="CI908" s="5"/>
    </row>
    <row r="909" ht="14.25" customHeight="1">
      <c r="B909" s="1"/>
      <c r="D909" s="1"/>
      <c r="E909" s="33"/>
      <c r="F909" s="34"/>
      <c r="G909" s="5"/>
      <c r="H909" s="5"/>
      <c r="I909" s="5"/>
      <c r="J909" s="5"/>
      <c r="K909" s="5"/>
      <c r="L909" s="5"/>
      <c r="M909" s="32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  <c r="AE909" s="5"/>
      <c r="AF909" s="5"/>
      <c r="AG909" s="5"/>
      <c r="AH909" s="5"/>
      <c r="AI909" s="5"/>
      <c r="AJ909" s="5"/>
      <c r="AK909" s="5"/>
      <c r="AL909" s="5"/>
      <c r="AM909" s="5"/>
      <c r="AN909" s="5"/>
      <c r="AO909" s="5"/>
      <c r="AP909" s="5"/>
      <c r="AQ909" s="5"/>
      <c r="AR909" s="5"/>
      <c r="AS909" s="5"/>
      <c r="AT909" s="5"/>
      <c r="AU909" s="5"/>
      <c r="AV909" s="5"/>
      <c r="AW909" s="5"/>
      <c r="AX909" s="5"/>
      <c r="AY909" s="5"/>
      <c r="AZ909" s="5"/>
      <c r="BA909" s="5"/>
      <c r="BB909" s="5"/>
      <c r="BC909" s="5"/>
      <c r="BD909" s="5"/>
      <c r="BE909" s="5"/>
      <c r="BF909" s="5"/>
      <c r="BG909" s="5"/>
      <c r="BH909" s="5"/>
      <c r="BI909" s="5"/>
      <c r="BJ909" s="5"/>
      <c r="BK909" s="5"/>
      <c r="BL909" s="5"/>
      <c r="BM909" s="5"/>
      <c r="BN909" s="5"/>
      <c r="BO909" s="5"/>
      <c r="BP909" s="5"/>
      <c r="BQ909" s="5"/>
      <c r="BR909" s="5"/>
      <c r="BS909" s="5"/>
      <c r="BT909" s="5"/>
      <c r="BU909" s="5"/>
      <c r="BV909" s="5"/>
      <c r="BW909" s="5"/>
      <c r="BX909" s="5"/>
      <c r="BY909" s="5"/>
      <c r="BZ909" s="5"/>
      <c r="CA909" s="5"/>
      <c r="CB909" s="5"/>
      <c r="CC909" s="5"/>
      <c r="CD909" s="5"/>
      <c r="CE909" s="5"/>
      <c r="CF909" s="5"/>
      <c r="CG909" s="5"/>
      <c r="CH909" s="5"/>
      <c r="CI909" s="5"/>
    </row>
    <row r="910" ht="14.25" customHeight="1">
      <c r="B910" s="1"/>
      <c r="D910" s="1"/>
      <c r="E910" s="33"/>
      <c r="F910" s="34"/>
      <c r="G910" s="5"/>
      <c r="H910" s="5"/>
      <c r="I910" s="5"/>
      <c r="J910" s="5"/>
      <c r="K910" s="5"/>
      <c r="L910" s="5"/>
      <c r="M910" s="32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  <c r="AG910" s="5"/>
      <c r="AH910" s="5"/>
      <c r="AI910" s="5"/>
      <c r="AJ910" s="5"/>
      <c r="AK910" s="5"/>
      <c r="AL910" s="5"/>
      <c r="AM910" s="5"/>
      <c r="AN910" s="5"/>
      <c r="AO910" s="5"/>
      <c r="AP910" s="5"/>
      <c r="AQ910" s="5"/>
      <c r="AR910" s="5"/>
      <c r="AS910" s="5"/>
      <c r="AT910" s="5"/>
      <c r="AU910" s="5"/>
      <c r="AV910" s="5"/>
      <c r="AW910" s="5"/>
      <c r="AX910" s="5"/>
      <c r="AY910" s="5"/>
      <c r="AZ910" s="5"/>
      <c r="BA910" s="5"/>
      <c r="BB910" s="5"/>
      <c r="BC910" s="5"/>
      <c r="BD910" s="5"/>
      <c r="BE910" s="5"/>
      <c r="BF910" s="5"/>
      <c r="BG910" s="5"/>
      <c r="BH910" s="5"/>
      <c r="BI910" s="5"/>
      <c r="BJ910" s="5"/>
      <c r="BK910" s="5"/>
      <c r="BL910" s="5"/>
      <c r="BM910" s="5"/>
      <c r="BN910" s="5"/>
      <c r="BO910" s="5"/>
      <c r="BP910" s="5"/>
      <c r="BQ910" s="5"/>
      <c r="BR910" s="5"/>
      <c r="BS910" s="5"/>
      <c r="BT910" s="5"/>
      <c r="BU910" s="5"/>
      <c r="BV910" s="5"/>
      <c r="BW910" s="5"/>
      <c r="BX910" s="5"/>
      <c r="BY910" s="5"/>
      <c r="BZ910" s="5"/>
      <c r="CA910" s="5"/>
      <c r="CB910" s="5"/>
      <c r="CC910" s="5"/>
      <c r="CD910" s="5"/>
      <c r="CE910" s="5"/>
      <c r="CF910" s="5"/>
      <c r="CG910" s="5"/>
      <c r="CH910" s="5"/>
      <c r="CI910" s="5"/>
    </row>
    <row r="911" ht="14.25" customHeight="1">
      <c r="B911" s="1"/>
      <c r="D911" s="1"/>
      <c r="E911" s="33"/>
      <c r="F911" s="34"/>
      <c r="G911" s="5"/>
      <c r="H911" s="5"/>
      <c r="I911" s="5"/>
      <c r="J911" s="5"/>
      <c r="K911" s="5"/>
      <c r="L911" s="5"/>
      <c r="M911" s="32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  <c r="AE911" s="5"/>
      <c r="AF911" s="5"/>
      <c r="AG911" s="5"/>
      <c r="AH911" s="5"/>
      <c r="AI911" s="5"/>
      <c r="AJ911" s="5"/>
      <c r="AK911" s="5"/>
      <c r="AL911" s="5"/>
      <c r="AM911" s="5"/>
      <c r="AN911" s="5"/>
      <c r="AO911" s="5"/>
      <c r="AP911" s="5"/>
      <c r="AQ911" s="5"/>
      <c r="AR911" s="5"/>
      <c r="AS911" s="5"/>
      <c r="AT911" s="5"/>
      <c r="AU911" s="5"/>
      <c r="AV911" s="5"/>
      <c r="AW911" s="5"/>
      <c r="AX911" s="5"/>
      <c r="AY911" s="5"/>
      <c r="AZ911" s="5"/>
      <c r="BA911" s="5"/>
      <c r="BB911" s="5"/>
      <c r="BC911" s="5"/>
      <c r="BD911" s="5"/>
      <c r="BE911" s="5"/>
      <c r="BF911" s="5"/>
      <c r="BG911" s="5"/>
      <c r="BH911" s="5"/>
      <c r="BI911" s="5"/>
      <c r="BJ911" s="5"/>
      <c r="BK911" s="5"/>
      <c r="BL911" s="5"/>
      <c r="BM911" s="5"/>
      <c r="BN911" s="5"/>
      <c r="BO911" s="5"/>
      <c r="BP911" s="5"/>
      <c r="BQ911" s="5"/>
      <c r="BR911" s="5"/>
      <c r="BS911" s="5"/>
      <c r="BT911" s="5"/>
      <c r="BU911" s="5"/>
      <c r="BV911" s="5"/>
      <c r="BW911" s="5"/>
      <c r="BX911" s="5"/>
      <c r="BY911" s="5"/>
      <c r="BZ911" s="5"/>
      <c r="CA911" s="5"/>
      <c r="CB911" s="5"/>
      <c r="CC911" s="5"/>
      <c r="CD911" s="5"/>
      <c r="CE911" s="5"/>
      <c r="CF911" s="5"/>
      <c r="CG911" s="5"/>
      <c r="CH911" s="5"/>
      <c r="CI911" s="5"/>
    </row>
    <row r="912" ht="14.25" customHeight="1">
      <c r="B912" s="1"/>
      <c r="D912" s="1"/>
      <c r="E912" s="33"/>
      <c r="F912" s="34"/>
      <c r="G912" s="5"/>
      <c r="H912" s="5"/>
      <c r="I912" s="5"/>
      <c r="J912" s="5"/>
      <c r="K912" s="5"/>
      <c r="L912" s="5"/>
      <c r="M912" s="32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  <c r="AG912" s="5"/>
      <c r="AH912" s="5"/>
      <c r="AI912" s="5"/>
      <c r="AJ912" s="5"/>
      <c r="AK912" s="5"/>
      <c r="AL912" s="5"/>
      <c r="AM912" s="5"/>
      <c r="AN912" s="5"/>
      <c r="AO912" s="5"/>
      <c r="AP912" s="5"/>
      <c r="AQ912" s="5"/>
      <c r="AR912" s="5"/>
      <c r="AS912" s="5"/>
      <c r="AT912" s="5"/>
      <c r="AU912" s="5"/>
      <c r="AV912" s="5"/>
      <c r="AW912" s="5"/>
      <c r="AX912" s="5"/>
      <c r="AY912" s="5"/>
      <c r="AZ912" s="5"/>
      <c r="BA912" s="5"/>
      <c r="BB912" s="5"/>
      <c r="BC912" s="5"/>
      <c r="BD912" s="5"/>
      <c r="BE912" s="5"/>
      <c r="BF912" s="5"/>
      <c r="BG912" s="5"/>
      <c r="BH912" s="5"/>
      <c r="BI912" s="5"/>
      <c r="BJ912" s="5"/>
      <c r="BK912" s="5"/>
      <c r="BL912" s="5"/>
      <c r="BM912" s="5"/>
      <c r="BN912" s="5"/>
      <c r="BO912" s="5"/>
      <c r="BP912" s="5"/>
      <c r="BQ912" s="5"/>
      <c r="BR912" s="5"/>
      <c r="BS912" s="5"/>
      <c r="BT912" s="5"/>
      <c r="BU912" s="5"/>
      <c r="BV912" s="5"/>
      <c r="BW912" s="5"/>
      <c r="BX912" s="5"/>
      <c r="BY912" s="5"/>
      <c r="BZ912" s="5"/>
      <c r="CA912" s="5"/>
      <c r="CB912" s="5"/>
      <c r="CC912" s="5"/>
      <c r="CD912" s="5"/>
      <c r="CE912" s="5"/>
      <c r="CF912" s="5"/>
      <c r="CG912" s="5"/>
      <c r="CH912" s="5"/>
      <c r="CI912" s="5"/>
    </row>
    <row r="913" ht="14.25" customHeight="1">
      <c r="B913" s="1"/>
      <c r="D913" s="1"/>
      <c r="E913" s="33"/>
      <c r="F913" s="34"/>
      <c r="G913" s="5"/>
      <c r="H913" s="5"/>
      <c r="I913" s="5"/>
      <c r="J913" s="5"/>
      <c r="K913" s="5"/>
      <c r="L913" s="5"/>
      <c r="M913" s="32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  <c r="AG913" s="5"/>
      <c r="AH913" s="5"/>
      <c r="AI913" s="5"/>
      <c r="AJ913" s="5"/>
      <c r="AK913" s="5"/>
      <c r="AL913" s="5"/>
      <c r="AM913" s="5"/>
      <c r="AN913" s="5"/>
      <c r="AO913" s="5"/>
      <c r="AP913" s="5"/>
      <c r="AQ913" s="5"/>
      <c r="AR913" s="5"/>
      <c r="AS913" s="5"/>
      <c r="AT913" s="5"/>
      <c r="AU913" s="5"/>
      <c r="AV913" s="5"/>
      <c r="AW913" s="5"/>
      <c r="AX913" s="5"/>
      <c r="AY913" s="5"/>
      <c r="AZ913" s="5"/>
      <c r="BA913" s="5"/>
      <c r="BB913" s="5"/>
      <c r="BC913" s="5"/>
      <c r="BD913" s="5"/>
      <c r="BE913" s="5"/>
      <c r="BF913" s="5"/>
      <c r="BG913" s="5"/>
      <c r="BH913" s="5"/>
      <c r="BI913" s="5"/>
      <c r="BJ913" s="5"/>
      <c r="BK913" s="5"/>
      <c r="BL913" s="5"/>
      <c r="BM913" s="5"/>
      <c r="BN913" s="5"/>
      <c r="BO913" s="5"/>
      <c r="BP913" s="5"/>
      <c r="BQ913" s="5"/>
      <c r="BR913" s="5"/>
      <c r="BS913" s="5"/>
      <c r="BT913" s="5"/>
      <c r="BU913" s="5"/>
      <c r="BV913" s="5"/>
      <c r="BW913" s="5"/>
      <c r="BX913" s="5"/>
      <c r="BY913" s="5"/>
      <c r="BZ913" s="5"/>
      <c r="CA913" s="5"/>
      <c r="CB913" s="5"/>
      <c r="CC913" s="5"/>
      <c r="CD913" s="5"/>
      <c r="CE913" s="5"/>
      <c r="CF913" s="5"/>
      <c r="CG913" s="5"/>
      <c r="CH913" s="5"/>
      <c r="CI913" s="5"/>
    </row>
    <row r="914" ht="14.25" customHeight="1">
      <c r="B914" s="1"/>
      <c r="D914" s="1"/>
      <c r="E914" s="33"/>
      <c r="F914" s="34"/>
      <c r="G914" s="5"/>
      <c r="H914" s="5"/>
      <c r="I914" s="5"/>
      <c r="J914" s="5"/>
      <c r="K914" s="5"/>
      <c r="L914" s="5"/>
      <c r="M914" s="32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  <c r="AE914" s="5"/>
      <c r="AF914" s="5"/>
      <c r="AG914" s="5"/>
      <c r="AH914" s="5"/>
      <c r="AI914" s="5"/>
      <c r="AJ914" s="5"/>
      <c r="AK914" s="5"/>
      <c r="AL914" s="5"/>
      <c r="AM914" s="5"/>
      <c r="AN914" s="5"/>
      <c r="AO914" s="5"/>
      <c r="AP914" s="5"/>
      <c r="AQ914" s="5"/>
      <c r="AR914" s="5"/>
      <c r="AS914" s="5"/>
      <c r="AT914" s="5"/>
      <c r="AU914" s="5"/>
      <c r="AV914" s="5"/>
      <c r="AW914" s="5"/>
      <c r="AX914" s="5"/>
      <c r="AY914" s="5"/>
      <c r="AZ914" s="5"/>
      <c r="BA914" s="5"/>
      <c r="BB914" s="5"/>
      <c r="BC914" s="5"/>
      <c r="BD914" s="5"/>
      <c r="BE914" s="5"/>
      <c r="BF914" s="5"/>
      <c r="BG914" s="5"/>
      <c r="BH914" s="5"/>
      <c r="BI914" s="5"/>
      <c r="BJ914" s="5"/>
      <c r="BK914" s="5"/>
      <c r="BL914" s="5"/>
      <c r="BM914" s="5"/>
      <c r="BN914" s="5"/>
      <c r="BO914" s="5"/>
      <c r="BP914" s="5"/>
      <c r="BQ914" s="5"/>
      <c r="BR914" s="5"/>
      <c r="BS914" s="5"/>
      <c r="BT914" s="5"/>
      <c r="BU914" s="5"/>
      <c r="BV914" s="5"/>
      <c r="BW914" s="5"/>
      <c r="BX914" s="5"/>
      <c r="BY914" s="5"/>
      <c r="BZ914" s="5"/>
      <c r="CA914" s="5"/>
      <c r="CB914" s="5"/>
      <c r="CC914" s="5"/>
      <c r="CD914" s="5"/>
      <c r="CE914" s="5"/>
      <c r="CF914" s="5"/>
      <c r="CG914" s="5"/>
      <c r="CH914" s="5"/>
      <c r="CI914" s="5"/>
    </row>
    <row r="915" ht="14.25" customHeight="1">
      <c r="B915" s="1"/>
      <c r="D915" s="1"/>
      <c r="E915" s="33"/>
      <c r="F915" s="34"/>
      <c r="G915" s="5"/>
      <c r="H915" s="5"/>
      <c r="I915" s="5"/>
      <c r="J915" s="5"/>
      <c r="K915" s="5"/>
      <c r="L915" s="5"/>
      <c r="M915" s="32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  <c r="AE915" s="5"/>
      <c r="AF915" s="5"/>
      <c r="AG915" s="5"/>
      <c r="AH915" s="5"/>
      <c r="AI915" s="5"/>
      <c r="AJ915" s="5"/>
      <c r="AK915" s="5"/>
      <c r="AL915" s="5"/>
      <c r="AM915" s="5"/>
      <c r="AN915" s="5"/>
      <c r="AO915" s="5"/>
      <c r="AP915" s="5"/>
      <c r="AQ915" s="5"/>
      <c r="AR915" s="5"/>
      <c r="AS915" s="5"/>
      <c r="AT915" s="5"/>
      <c r="AU915" s="5"/>
      <c r="AV915" s="5"/>
      <c r="AW915" s="5"/>
      <c r="AX915" s="5"/>
      <c r="AY915" s="5"/>
      <c r="AZ915" s="5"/>
      <c r="BA915" s="5"/>
      <c r="BB915" s="5"/>
      <c r="BC915" s="5"/>
      <c r="BD915" s="5"/>
      <c r="BE915" s="5"/>
      <c r="BF915" s="5"/>
      <c r="BG915" s="5"/>
      <c r="BH915" s="5"/>
      <c r="BI915" s="5"/>
      <c r="BJ915" s="5"/>
      <c r="BK915" s="5"/>
      <c r="BL915" s="5"/>
      <c r="BM915" s="5"/>
      <c r="BN915" s="5"/>
      <c r="BO915" s="5"/>
      <c r="BP915" s="5"/>
      <c r="BQ915" s="5"/>
      <c r="BR915" s="5"/>
      <c r="BS915" s="5"/>
      <c r="BT915" s="5"/>
      <c r="BU915" s="5"/>
      <c r="BV915" s="5"/>
      <c r="BW915" s="5"/>
      <c r="BX915" s="5"/>
      <c r="BY915" s="5"/>
      <c r="BZ915" s="5"/>
      <c r="CA915" s="5"/>
      <c r="CB915" s="5"/>
      <c r="CC915" s="5"/>
      <c r="CD915" s="5"/>
      <c r="CE915" s="5"/>
      <c r="CF915" s="5"/>
      <c r="CG915" s="5"/>
      <c r="CH915" s="5"/>
      <c r="CI915" s="5"/>
    </row>
    <row r="916" ht="14.25" customHeight="1">
      <c r="B916" s="1"/>
      <c r="D916" s="1"/>
      <c r="E916" s="33"/>
      <c r="F916" s="34"/>
      <c r="G916" s="5"/>
      <c r="H916" s="5"/>
      <c r="I916" s="5"/>
      <c r="J916" s="5"/>
      <c r="K916" s="5"/>
      <c r="L916" s="5"/>
      <c r="M916" s="32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  <c r="AG916" s="5"/>
      <c r="AH916" s="5"/>
      <c r="AI916" s="5"/>
      <c r="AJ916" s="5"/>
      <c r="AK916" s="5"/>
      <c r="AL916" s="5"/>
      <c r="AM916" s="5"/>
      <c r="AN916" s="5"/>
      <c r="AO916" s="5"/>
      <c r="AP916" s="5"/>
      <c r="AQ916" s="5"/>
      <c r="AR916" s="5"/>
      <c r="AS916" s="5"/>
      <c r="AT916" s="5"/>
      <c r="AU916" s="5"/>
      <c r="AV916" s="5"/>
      <c r="AW916" s="5"/>
      <c r="AX916" s="5"/>
      <c r="AY916" s="5"/>
      <c r="AZ916" s="5"/>
      <c r="BA916" s="5"/>
      <c r="BB916" s="5"/>
      <c r="BC916" s="5"/>
      <c r="BD916" s="5"/>
      <c r="BE916" s="5"/>
      <c r="BF916" s="5"/>
      <c r="BG916" s="5"/>
      <c r="BH916" s="5"/>
      <c r="BI916" s="5"/>
      <c r="BJ916" s="5"/>
      <c r="BK916" s="5"/>
      <c r="BL916" s="5"/>
      <c r="BM916" s="5"/>
      <c r="BN916" s="5"/>
      <c r="BO916" s="5"/>
      <c r="BP916" s="5"/>
      <c r="BQ916" s="5"/>
      <c r="BR916" s="5"/>
      <c r="BS916" s="5"/>
      <c r="BT916" s="5"/>
      <c r="BU916" s="5"/>
      <c r="BV916" s="5"/>
      <c r="BW916" s="5"/>
      <c r="BX916" s="5"/>
      <c r="BY916" s="5"/>
      <c r="BZ916" s="5"/>
      <c r="CA916" s="5"/>
      <c r="CB916" s="5"/>
      <c r="CC916" s="5"/>
      <c r="CD916" s="5"/>
      <c r="CE916" s="5"/>
      <c r="CF916" s="5"/>
      <c r="CG916" s="5"/>
      <c r="CH916" s="5"/>
      <c r="CI916" s="5"/>
    </row>
    <row r="917" ht="14.25" customHeight="1">
      <c r="B917" s="1"/>
      <c r="D917" s="1"/>
      <c r="E917" s="33"/>
      <c r="F917" s="34"/>
      <c r="G917" s="5"/>
      <c r="H917" s="5"/>
      <c r="I917" s="5"/>
      <c r="J917" s="5"/>
      <c r="K917" s="5"/>
      <c r="L917" s="5"/>
      <c r="M917" s="32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  <c r="AE917" s="5"/>
      <c r="AF917" s="5"/>
      <c r="AG917" s="5"/>
      <c r="AH917" s="5"/>
      <c r="AI917" s="5"/>
      <c r="AJ917" s="5"/>
      <c r="AK917" s="5"/>
      <c r="AL917" s="5"/>
      <c r="AM917" s="5"/>
      <c r="AN917" s="5"/>
      <c r="AO917" s="5"/>
      <c r="AP917" s="5"/>
      <c r="AQ917" s="5"/>
      <c r="AR917" s="5"/>
      <c r="AS917" s="5"/>
      <c r="AT917" s="5"/>
      <c r="AU917" s="5"/>
      <c r="AV917" s="5"/>
      <c r="AW917" s="5"/>
      <c r="AX917" s="5"/>
      <c r="AY917" s="5"/>
      <c r="AZ917" s="5"/>
      <c r="BA917" s="5"/>
      <c r="BB917" s="5"/>
      <c r="BC917" s="5"/>
      <c r="BD917" s="5"/>
      <c r="BE917" s="5"/>
      <c r="BF917" s="5"/>
      <c r="BG917" s="5"/>
      <c r="BH917" s="5"/>
      <c r="BI917" s="5"/>
      <c r="BJ917" s="5"/>
      <c r="BK917" s="5"/>
      <c r="BL917" s="5"/>
      <c r="BM917" s="5"/>
      <c r="BN917" s="5"/>
      <c r="BO917" s="5"/>
      <c r="BP917" s="5"/>
      <c r="BQ917" s="5"/>
      <c r="BR917" s="5"/>
      <c r="BS917" s="5"/>
      <c r="BT917" s="5"/>
      <c r="BU917" s="5"/>
      <c r="BV917" s="5"/>
      <c r="BW917" s="5"/>
      <c r="BX917" s="5"/>
      <c r="BY917" s="5"/>
      <c r="BZ917" s="5"/>
      <c r="CA917" s="5"/>
      <c r="CB917" s="5"/>
      <c r="CC917" s="5"/>
      <c r="CD917" s="5"/>
      <c r="CE917" s="5"/>
      <c r="CF917" s="5"/>
      <c r="CG917" s="5"/>
      <c r="CH917" s="5"/>
      <c r="CI917" s="5"/>
    </row>
    <row r="918" ht="14.25" customHeight="1">
      <c r="B918" s="1"/>
      <c r="D918" s="1"/>
      <c r="E918" s="33"/>
      <c r="F918" s="34"/>
      <c r="G918" s="5"/>
      <c r="H918" s="5"/>
      <c r="I918" s="5"/>
      <c r="J918" s="5"/>
      <c r="K918" s="5"/>
      <c r="L918" s="5"/>
      <c r="M918" s="32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  <c r="AE918" s="5"/>
      <c r="AF918" s="5"/>
      <c r="AG918" s="5"/>
      <c r="AH918" s="5"/>
      <c r="AI918" s="5"/>
      <c r="AJ918" s="5"/>
      <c r="AK918" s="5"/>
      <c r="AL918" s="5"/>
      <c r="AM918" s="5"/>
      <c r="AN918" s="5"/>
      <c r="AO918" s="5"/>
      <c r="AP918" s="5"/>
      <c r="AQ918" s="5"/>
      <c r="AR918" s="5"/>
      <c r="AS918" s="5"/>
      <c r="AT918" s="5"/>
      <c r="AU918" s="5"/>
      <c r="AV918" s="5"/>
      <c r="AW918" s="5"/>
      <c r="AX918" s="5"/>
      <c r="AY918" s="5"/>
      <c r="AZ918" s="5"/>
      <c r="BA918" s="5"/>
      <c r="BB918" s="5"/>
      <c r="BC918" s="5"/>
      <c r="BD918" s="5"/>
      <c r="BE918" s="5"/>
      <c r="BF918" s="5"/>
      <c r="BG918" s="5"/>
      <c r="BH918" s="5"/>
      <c r="BI918" s="5"/>
      <c r="BJ918" s="5"/>
      <c r="BK918" s="5"/>
      <c r="BL918" s="5"/>
      <c r="BM918" s="5"/>
      <c r="BN918" s="5"/>
      <c r="BO918" s="5"/>
      <c r="BP918" s="5"/>
      <c r="BQ918" s="5"/>
      <c r="BR918" s="5"/>
      <c r="BS918" s="5"/>
      <c r="BT918" s="5"/>
      <c r="BU918" s="5"/>
      <c r="BV918" s="5"/>
      <c r="BW918" s="5"/>
      <c r="BX918" s="5"/>
      <c r="BY918" s="5"/>
      <c r="BZ918" s="5"/>
      <c r="CA918" s="5"/>
      <c r="CB918" s="5"/>
      <c r="CC918" s="5"/>
      <c r="CD918" s="5"/>
      <c r="CE918" s="5"/>
      <c r="CF918" s="5"/>
      <c r="CG918" s="5"/>
      <c r="CH918" s="5"/>
      <c r="CI918" s="5"/>
    </row>
    <row r="919" ht="14.25" customHeight="1">
      <c r="B919" s="1"/>
      <c r="D919" s="1"/>
      <c r="E919" s="33"/>
      <c r="F919" s="34"/>
      <c r="G919" s="5"/>
      <c r="H919" s="5"/>
      <c r="I919" s="5"/>
      <c r="J919" s="5"/>
      <c r="K919" s="5"/>
      <c r="L919" s="5"/>
      <c r="M919" s="32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  <c r="AG919" s="5"/>
      <c r="AH919" s="5"/>
      <c r="AI919" s="5"/>
      <c r="AJ919" s="5"/>
      <c r="AK919" s="5"/>
      <c r="AL919" s="5"/>
      <c r="AM919" s="5"/>
      <c r="AN919" s="5"/>
      <c r="AO919" s="5"/>
      <c r="AP919" s="5"/>
      <c r="AQ919" s="5"/>
      <c r="AR919" s="5"/>
      <c r="AS919" s="5"/>
      <c r="AT919" s="5"/>
      <c r="AU919" s="5"/>
      <c r="AV919" s="5"/>
      <c r="AW919" s="5"/>
      <c r="AX919" s="5"/>
      <c r="AY919" s="5"/>
      <c r="AZ919" s="5"/>
      <c r="BA919" s="5"/>
      <c r="BB919" s="5"/>
      <c r="BC919" s="5"/>
      <c r="BD919" s="5"/>
      <c r="BE919" s="5"/>
      <c r="BF919" s="5"/>
      <c r="BG919" s="5"/>
      <c r="BH919" s="5"/>
      <c r="BI919" s="5"/>
      <c r="BJ919" s="5"/>
      <c r="BK919" s="5"/>
      <c r="BL919" s="5"/>
      <c r="BM919" s="5"/>
      <c r="BN919" s="5"/>
      <c r="BO919" s="5"/>
      <c r="BP919" s="5"/>
      <c r="BQ919" s="5"/>
      <c r="BR919" s="5"/>
      <c r="BS919" s="5"/>
      <c r="BT919" s="5"/>
      <c r="BU919" s="5"/>
      <c r="BV919" s="5"/>
      <c r="BW919" s="5"/>
      <c r="BX919" s="5"/>
      <c r="BY919" s="5"/>
      <c r="BZ919" s="5"/>
      <c r="CA919" s="5"/>
      <c r="CB919" s="5"/>
      <c r="CC919" s="5"/>
      <c r="CD919" s="5"/>
      <c r="CE919" s="5"/>
      <c r="CF919" s="5"/>
      <c r="CG919" s="5"/>
      <c r="CH919" s="5"/>
      <c r="CI919" s="5"/>
    </row>
    <row r="920" ht="14.25" customHeight="1">
      <c r="B920" s="1"/>
      <c r="D920" s="1"/>
      <c r="E920" s="33"/>
      <c r="F920" s="34"/>
      <c r="G920" s="5"/>
      <c r="H920" s="5"/>
      <c r="I920" s="5"/>
      <c r="J920" s="5"/>
      <c r="K920" s="5"/>
      <c r="L920" s="5"/>
      <c r="M920" s="32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  <c r="AE920" s="5"/>
      <c r="AF920" s="5"/>
      <c r="AG920" s="5"/>
      <c r="AH920" s="5"/>
      <c r="AI920" s="5"/>
      <c r="AJ920" s="5"/>
      <c r="AK920" s="5"/>
      <c r="AL920" s="5"/>
      <c r="AM920" s="5"/>
      <c r="AN920" s="5"/>
      <c r="AO920" s="5"/>
      <c r="AP920" s="5"/>
      <c r="AQ920" s="5"/>
      <c r="AR920" s="5"/>
      <c r="AS920" s="5"/>
      <c r="AT920" s="5"/>
      <c r="AU920" s="5"/>
      <c r="AV920" s="5"/>
      <c r="AW920" s="5"/>
      <c r="AX920" s="5"/>
      <c r="AY920" s="5"/>
      <c r="AZ920" s="5"/>
      <c r="BA920" s="5"/>
      <c r="BB920" s="5"/>
      <c r="BC920" s="5"/>
      <c r="BD920" s="5"/>
      <c r="BE920" s="5"/>
      <c r="BF920" s="5"/>
      <c r="BG920" s="5"/>
      <c r="BH920" s="5"/>
      <c r="BI920" s="5"/>
      <c r="BJ920" s="5"/>
      <c r="BK920" s="5"/>
      <c r="BL920" s="5"/>
      <c r="BM920" s="5"/>
      <c r="BN920" s="5"/>
      <c r="BO920" s="5"/>
      <c r="BP920" s="5"/>
      <c r="BQ920" s="5"/>
      <c r="BR920" s="5"/>
      <c r="BS920" s="5"/>
      <c r="BT920" s="5"/>
      <c r="BU920" s="5"/>
      <c r="BV920" s="5"/>
      <c r="BW920" s="5"/>
      <c r="BX920" s="5"/>
      <c r="BY920" s="5"/>
      <c r="BZ920" s="5"/>
      <c r="CA920" s="5"/>
      <c r="CB920" s="5"/>
      <c r="CC920" s="5"/>
      <c r="CD920" s="5"/>
      <c r="CE920" s="5"/>
      <c r="CF920" s="5"/>
      <c r="CG920" s="5"/>
      <c r="CH920" s="5"/>
      <c r="CI920" s="5"/>
    </row>
    <row r="921" ht="14.25" customHeight="1">
      <c r="B921" s="1"/>
      <c r="D921" s="1"/>
      <c r="E921" s="33"/>
      <c r="F921" s="34"/>
      <c r="G921" s="5"/>
      <c r="H921" s="5"/>
      <c r="I921" s="5"/>
      <c r="J921" s="5"/>
      <c r="K921" s="5"/>
      <c r="L921" s="5"/>
      <c r="M921" s="32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  <c r="AG921" s="5"/>
      <c r="AH921" s="5"/>
      <c r="AI921" s="5"/>
      <c r="AJ921" s="5"/>
      <c r="AK921" s="5"/>
      <c r="AL921" s="5"/>
      <c r="AM921" s="5"/>
      <c r="AN921" s="5"/>
      <c r="AO921" s="5"/>
      <c r="AP921" s="5"/>
      <c r="AQ921" s="5"/>
      <c r="AR921" s="5"/>
      <c r="AS921" s="5"/>
      <c r="AT921" s="5"/>
      <c r="AU921" s="5"/>
      <c r="AV921" s="5"/>
      <c r="AW921" s="5"/>
      <c r="AX921" s="5"/>
      <c r="AY921" s="5"/>
      <c r="AZ921" s="5"/>
      <c r="BA921" s="5"/>
      <c r="BB921" s="5"/>
      <c r="BC921" s="5"/>
      <c r="BD921" s="5"/>
      <c r="BE921" s="5"/>
      <c r="BF921" s="5"/>
      <c r="BG921" s="5"/>
      <c r="BH921" s="5"/>
      <c r="BI921" s="5"/>
      <c r="BJ921" s="5"/>
      <c r="BK921" s="5"/>
      <c r="BL921" s="5"/>
      <c r="BM921" s="5"/>
      <c r="BN921" s="5"/>
      <c r="BO921" s="5"/>
      <c r="BP921" s="5"/>
      <c r="BQ921" s="5"/>
      <c r="BR921" s="5"/>
      <c r="BS921" s="5"/>
      <c r="BT921" s="5"/>
      <c r="BU921" s="5"/>
      <c r="BV921" s="5"/>
      <c r="BW921" s="5"/>
      <c r="BX921" s="5"/>
      <c r="BY921" s="5"/>
      <c r="BZ921" s="5"/>
      <c r="CA921" s="5"/>
      <c r="CB921" s="5"/>
      <c r="CC921" s="5"/>
      <c r="CD921" s="5"/>
      <c r="CE921" s="5"/>
      <c r="CF921" s="5"/>
      <c r="CG921" s="5"/>
      <c r="CH921" s="5"/>
      <c r="CI921" s="5"/>
    </row>
    <row r="922" ht="14.25" customHeight="1">
      <c r="B922" s="1"/>
      <c r="D922" s="1"/>
      <c r="E922" s="33"/>
      <c r="F922" s="34"/>
      <c r="G922" s="5"/>
      <c r="H922" s="5"/>
      <c r="I922" s="5"/>
      <c r="J922" s="5"/>
      <c r="K922" s="5"/>
      <c r="L922" s="5"/>
      <c r="M922" s="32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  <c r="AG922" s="5"/>
      <c r="AH922" s="5"/>
      <c r="AI922" s="5"/>
      <c r="AJ922" s="5"/>
      <c r="AK922" s="5"/>
      <c r="AL922" s="5"/>
      <c r="AM922" s="5"/>
      <c r="AN922" s="5"/>
      <c r="AO922" s="5"/>
      <c r="AP922" s="5"/>
      <c r="AQ922" s="5"/>
      <c r="AR922" s="5"/>
      <c r="AS922" s="5"/>
      <c r="AT922" s="5"/>
      <c r="AU922" s="5"/>
      <c r="AV922" s="5"/>
      <c r="AW922" s="5"/>
      <c r="AX922" s="5"/>
      <c r="AY922" s="5"/>
      <c r="AZ922" s="5"/>
      <c r="BA922" s="5"/>
      <c r="BB922" s="5"/>
      <c r="BC922" s="5"/>
      <c r="BD922" s="5"/>
      <c r="BE922" s="5"/>
      <c r="BF922" s="5"/>
      <c r="BG922" s="5"/>
      <c r="BH922" s="5"/>
      <c r="BI922" s="5"/>
      <c r="BJ922" s="5"/>
      <c r="BK922" s="5"/>
      <c r="BL922" s="5"/>
      <c r="BM922" s="5"/>
      <c r="BN922" s="5"/>
      <c r="BO922" s="5"/>
      <c r="BP922" s="5"/>
      <c r="BQ922" s="5"/>
      <c r="BR922" s="5"/>
      <c r="BS922" s="5"/>
      <c r="BT922" s="5"/>
      <c r="BU922" s="5"/>
      <c r="BV922" s="5"/>
      <c r="BW922" s="5"/>
      <c r="BX922" s="5"/>
      <c r="BY922" s="5"/>
      <c r="BZ922" s="5"/>
      <c r="CA922" s="5"/>
      <c r="CB922" s="5"/>
      <c r="CC922" s="5"/>
      <c r="CD922" s="5"/>
      <c r="CE922" s="5"/>
      <c r="CF922" s="5"/>
      <c r="CG922" s="5"/>
      <c r="CH922" s="5"/>
      <c r="CI922" s="5"/>
    </row>
    <row r="923" ht="14.25" customHeight="1">
      <c r="B923" s="1"/>
      <c r="D923" s="1"/>
      <c r="E923" s="33"/>
      <c r="F923" s="34"/>
      <c r="G923" s="5"/>
      <c r="H923" s="5"/>
      <c r="I923" s="5"/>
      <c r="J923" s="5"/>
      <c r="K923" s="5"/>
      <c r="L923" s="5"/>
      <c r="M923" s="32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  <c r="AE923" s="5"/>
      <c r="AF923" s="5"/>
      <c r="AG923" s="5"/>
      <c r="AH923" s="5"/>
      <c r="AI923" s="5"/>
      <c r="AJ923" s="5"/>
      <c r="AK923" s="5"/>
      <c r="AL923" s="5"/>
      <c r="AM923" s="5"/>
      <c r="AN923" s="5"/>
      <c r="AO923" s="5"/>
      <c r="AP923" s="5"/>
      <c r="AQ923" s="5"/>
      <c r="AR923" s="5"/>
      <c r="AS923" s="5"/>
      <c r="AT923" s="5"/>
      <c r="AU923" s="5"/>
      <c r="AV923" s="5"/>
      <c r="AW923" s="5"/>
      <c r="AX923" s="5"/>
      <c r="AY923" s="5"/>
      <c r="AZ923" s="5"/>
      <c r="BA923" s="5"/>
      <c r="BB923" s="5"/>
      <c r="BC923" s="5"/>
      <c r="BD923" s="5"/>
      <c r="BE923" s="5"/>
      <c r="BF923" s="5"/>
      <c r="BG923" s="5"/>
      <c r="BH923" s="5"/>
      <c r="BI923" s="5"/>
      <c r="BJ923" s="5"/>
      <c r="BK923" s="5"/>
      <c r="BL923" s="5"/>
      <c r="BM923" s="5"/>
      <c r="BN923" s="5"/>
      <c r="BO923" s="5"/>
      <c r="BP923" s="5"/>
      <c r="BQ923" s="5"/>
      <c r="BR923" s="5"/>
      <c r="BS923" s="5"/>
      <c r="BT923" s="5"/>
      <c r="BU923" s="5"/>
      <c r="BV923" s="5"/>
      <c r="BW923" s="5"/>
      <c r="BX923" s="5"/>
      <c r="BY923" s="5"/>
      <c r="BZ923" s="5"/>
      <c r="CA923" s="5"/>
      <c r="CB923" s="5"/>
      <c r="CC923" s="5"/>
      <c r="CD923" s="5"/>
      <c r="CE923" s="5"/>
      <c r="CF923" s="5"/>
      <c r="CG923" s="5"/>
      <c r="CH923" s="5"/>
      <c r="CI923" s="5"/>
    </row>
    <row r="924" ht="14.25" customHeight="1">
      <c r="B924" s="1"/>
      <c r="D924" s="1"/>
      <c r="E924" s="33"/>
      <c r="F924" s="34"/>
      <c r="G924" s="5"/>
      <c r="H924" s="5"/>
      <c r="I924" s="5"/>
      <c r="J924" s="5"/>
      <c r="K924" s="5"/>
      <c r="L924" s="5"/>
      <c r="M924" s="32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  <c r="AG924" s="5"/>
      <c r="AH924" s="5"/>
      <c r="AI924" s="5"/>
      <c r="AJ924" s="5"/>
      <c r="AK924" s="5"/>
      <c r="AL924" s="5"/>
      <c r="AM924" s="5"/>
      <c r="AN924" s="5"/>
      <c r="AO924" s="5"/>
      <c r="AP924" s="5"/>
      <c r="AQ924" s="5"/>
      <c r="AR924" s="5"/>
      <c r="AS924" s="5"/>
      <c r="AT924" s="5"/>
      <c r="AU924" s="5"/>
      <c r="AV924" s="5"/>
      <c r="AW924" s="5"/>
      <c r="AX924" s="5"/>
      <c r="AY924" s="5"/>
      <c r="AZ924" s="5"/>
      <c r="BA924" s="5"/>
      <c r="BB924" s="5"/>
      <c r="BC924" s="5"/>
      <c r="BD924" s="5"/>
      <c r="BE924" s="5"/>
      <c r="BF924" s="5"/>
      <c r="BG924" s="5"/>
      <c r="BH924" s="5"/>
      <c r="BI924" s="5"/>
      <c r="BJ924" s="5"/>
      <c r="BK924" s="5"/>
      <c r="BL924" s="5"/>
      <c r="BM924" s="5"/>
      <c r="BN924" s="5"/>
      <c r="BO924" s="5"/>
      <c r="BP924" s="5"/>
      <c r="BQ924" s="5"/>
      <c r="BR924" s="5"/>
      <c r="BS924" s="5"/>
      <c r="BT924" s="5"/>
      <c r="BU924" s="5"/>
      <c r="BV924" s="5"/>
      <c r="BW924" s="5"/>
      <c r="BX924" s="5"/>
      <c r="BY924" s="5"/>
      <c r="BZ924" s="5"/>
      <c r="CA924" s="5"/>
      <c r="CB924" s="5"/>
      <c r="CC924" s="5"/>
      <c r="CD924" s="5"/>
      <c r="CE924" s="5"/>
      <c r="CF924" s="5"/>
      <c r="CG924" s="5"/>
      <c r="CH924" s="5"/>
      <c r="CI924" s="5"/>
    </row>
    <row r="925" ht="14.25" customHeight="1">
      <c r="B925" s="1"/>
      <c r="D925" s="1"/>
      <c r="E925" s="33"/>
      <c r="F925" s="34"/>
      <c r="G925" s="5"/>
      <c r="H925" s="5"/>
      <c r="I925" s="5"/>
      <c r="J925" s="5"/>
      <c r="K925" s="5"/>
      <c r="L925" s="5"/>
      <c r="M925" s="32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  <c r="AG925" s="5"/>
      <c r="AH925" s="5"/>
      <c r="AI925" s="5"/>
      <c r="AJ925" s="5"/>
      <c r="AK925" s="5"/>
      <c r="AL925" s="5"/>
      <c r="AM925" s="5"/>
      <c r="AN925" s="5"/>
      <c r="AO925" s="5"/>
      <c r="AP925" s="5"/>
      <c r="AQ925" s="5"/>
      <c r="AR925" s="5"/>
      <c r="AS925" s="5"/>
      <c r="AT925" s="5"/>
      <c r="AU925" s="5"/>
      <c r="AV925" s="5"/>
      <c r="AW925" s="5"/>
      <c r="AX925" s="5"/>
      <c r="AY925" s="5"/>
      <c r="AZ925" s="5"/>
      <c r="BA925" s="5"/>
      <c r="BB925" s="5"/>
      <c r="BC925" s="5"/>
      <c r="BD925" s="5"/>
      <c r="BE925" s="5"/>
      <c r="BF925" s="5"/>
      <c r="BG925" s="5"/>
      <c r="BH925" s="5"/>
      <c r="BI925" s="5"/>
      <c r="BJ925" s="5"/>
      <c r="BK925" s="5"/>
      <c r="BL925" s="5"/>
      <c r="BM925" s="5"/>
      <c r="BN925" s="5"/>
      <c r="BO925" s="5"/>
      <c r="BP925" s="5"/>
      <c r="BQ925" s="5"/>
      <c r="BR925" s="5"/>
      <c r="BS925" s="5"/>
      <c r="BT925" s="5"/>
      <c r="BU925" s="5"/>
      <c r="BV925" s="5"/>
      <c r="BW925" s="5"/>
      <c r="BX925" s="5"/>
      <c r="BY925" s="5"/>
      <c r="BZ925" s="5"/>
      <c r="CA925" s="5"/>
      <c r="CB925" s="5"/>
      <c r="CC925" s="5"/>
      <c r="CD925" s="5"/>
      <c r="CE925" s="5"/>
      <c r="CF925" s="5"/>
      <c r="CG925" s="5"/>
      <c r="CH925" s="5"/>
      <c r="CI925" s="5"/>
    </row>
    <row r="926" ht="14.25" customHeight="1">
      <c r="B926" s="1"/>
      <c r="D926" s="1"/>
      <c r="E926" s="33"/>
      <c r="F926" s="34"/>
      <c r="G926" s="5"/>
      <c r="H926" s="5"/>
      <c r="I926" s="5"/>
      <c r="J926" s="5"/>
      <c r="K926" s="5"/>
      <c r="L926" s="5"/>
      <c r="M926" s="32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  <c r="AE926" s="5"/>
      <c r="AF926" s="5"/>
      <c r="AG926" s="5"/>
      <c r="AH926" s="5"/>
      <c r="AI926" s="5"/>
      <c r="AJ926" s="5"/>
      <c r="AK926" s="5"/>
      <c r="AL926" s="5"/>
      <c r="AM926" s="5"/>
      <c r="AN926" s="5"/>
      <c r="AO926" s="5"/>
      <c r="AP926" s="5"/>
      <c r="AQ926" s="5"/>
      <c r="AR926" s="5"/>
      <c r="AS926" s="5"/>
      <c r="AT926" s="5"/>
      <c r="AU926" s="5"/>
      <c r="AV926" s="5"/>
      <c r="AW926" s="5"/>
      <c r="AX926" s="5"/>
      <c r="AY926" s="5"/>
      <c r="AZ926" s="5"/>
      <c r="BA926" s="5"/>
      <c r="BB926" s="5"/>
      <c r="BC926" s="5"/>
      <c r="BD926" s="5"/>
      <c r="BE926" s="5"/>
      <c r="BF926" s="5"/>
      <c r="BG926" s="5"/>
      <c r="BH926" s="5"/>
      <c r="BI926" s="5"/>
      <c r="BJ926" s="5"/>
      <c r="BK926" s="5"/>
      <c r="BL926" s="5"/>
      <c r="BM926" s="5"/>
      <c r="BN926" s="5"/>
      <c r="BO926" s="5"/>
      <c r="BP926" s="5"/>
      <c r="BQ926" s="5"/>
      <c r="BR926" s="5"/>
      <c r="BS926" s="5"/>
      <c r="BT926" s="5"/>
      <c r="BU926" s="5"/>
      <c r="BV926" s="5"/>
      <c r="BW926" s="5"/>
      <c r="BX926" s="5"/>
      <c r="BY926" s="5"/>
      <c r="BZ926" s="5"/>
      <c r="CA926" s="5"/>
      <c r="CB926" s="5"/>
      <c r="CC926" s="5"/>
      <c r="CD926" s="5"/>
      <c r="CE926" s="5"/>
      <c r="CF926" s="5"/>
      <c r="CG926" s="5"/>
      <c r="CH926" s="5"/>
      <c r="CI926" s="5"/>
    </row>
    <row r="927" ht="14.25" customHeight="1">
      <c r="B927" s="1"/>
      <c r="D927" s="1"/>
      <c r="E927" s="33"/>
      <c r="F927" s="34"/>
      <c r="G927" s="5"/>
      <c r="H927" s="5"/>
      <c r="I927" s="5"/>
      <c r="J927" s="5"/>
      <c r="K927" s="5"/>
      <c r="L927" s="5"/>
      <c r="M927" s="32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  <c r="AE927" s="5"/>
      <c r="AF927" s="5"/>
      <c r="AG927" s="5"/>
      <c r="AH927" s="5"/>
      <c r="AI927" s="5"/>
      <c r="AJ927" s="5"/>
      <c r="AK927" s="5"/>
      <c r="AL927" s="5"/>
      <c r="AM927" s="5"/>
      <c r="AN927" s="5"/>
      <c r="AO927" s="5"/>
      <c r="AP927" s="5"/>
      <c r="AQ927" s="5"/>
      <c r="AR927" s="5"/>
      <c r="AS927" s="5"/>
      <c r="AT927" s="5"/>
      <c r="AU927" s="5"/>
      <c r="AV927" s="5"/>
      <c r="AW927" s="5"/>
      <c r="AX927" s="5"/>
      <c r="AY927" s="5"/>
      <c r="AZ927" s="5"/>
      <c r="BA927" s="5"/>
      <c r="BB927" s="5"/>
      <c r="BC927" s="5"/>
      <c r="BD927" s="5"/>
      <c r="BE927" s="5"/>
      <c r="BF927" s="5"/>
      <c r="BG927" s="5"/>
      <c r="BH927" s="5"/>
      <c r="BI927" s="5"/>
      <c r="BJ927" s="5"/>
      <c r="BK927" s="5"/>
      <c r="BL927" s="5"/>
      <c r="BM927" s="5"/>
      <c r="BN927" s="5"/>
      <c r="BO927" s="5"/>
      <c r="BP927" s="5"/>
      <c r="BQ927" s="5"/>
      <c r="BR927" s="5"/>
      <c r="BS927" s="5"/>
      <c r="BT927" s="5"/>
      <c r="BU927" s="5"/>
      <c r="BV927" s="5"/>
      <c r="BW927" s="5"/>
      <c r="BX927" s="5"/>
      <c r="BY927" s="5"/>
      <c r="BZ927" s="5"/>
      <c r="CA927" s="5"/>
      <c r="CB927" s="5"/>
      <c r="CC927" s="5"/>
      <c r="CD927" s="5"/>
      <c r="CE927" s="5"/>
      <c r="CF927" s="5"/>
      <c r="CG927" s="5"/>
      <c r="CH927" s="5"/>
      <c r="CI927" s="5"/>
    </row>
    <row r="928" ht="14.25" customHeight="1">
      <c r="B928" s="1"/>
      <c r="D928" s="1"/>
      <c r="E928" s="33"/>
      <c r="F928" s="34"/>
      <c r="G928" s="5"/>
      <c r="H928" s="5"/>
      <c r="I928" s="5"/>
      <c r="J928" s="5"/>
      <c r="K928" s="5"/>
      <c r="L928" s="5"/>
      <c r="M928" s="32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  <c r="AG928" s="5"/>
      <c r="AH928" s="5"/>
      <c r="AI928" s="5"/>
      <c r="AJ928" s="5"/>
      <c r="AK928" s="5"/>
      <c r="AL928" s="5"/>
      <c r="AM928" s="5"/>
      <c r="AN928" s="5"/>
      <c r="AO928" s="5"/>
      <c r="AP928" s="5"/>
      <c r="AQ928" s="5"/>
      <c r="AR928" s="5"/>
      <c r="AS928" s="5"/>
      <c r="AT928" s="5"/>
      <c r="AU928" s="5"/>
      <c r="AV928" s="5"/>
      <c r="AW928" s="5"/>
      <c r="AX928" s="5"/>
      <c r="AY928" s="5"/>
      <c r="AZ928" s="5"/>
      <c r="BA928" s="5"/>
      <c r="BB928" s="5"/>
      <c r="BC928" s="5"/>
      <c r="BD928" s="5"/>
      <c r="BE928" s="5"/>
      <c r="BF928" s="5"/>
      <c r="BG928" s="5"/>
      <c r="BH928" s="5"/>
      <c r="BI928" s="5"/>
      <c r="BJ928" s="5"/>
      <c r="BK928" s="5"/>
      <c r="BL928" s="5"/>
      <c r="BM928" s="5"/>
      <c r="BN928" s="5"/>
      <c r="BO928" s="5"/>
      <c r="BP928" s="5"/>
      <c r="BQ928" s="5"/>
      <c r="BR928" s="5"/>
      <c r="BS928" s="5"/>
      <c r="BT928" s="5"/>
      <c r="BU928" s="5"/>
      <c r="BV928" s="5"/>
      <c r="BW928" s="5"/>
      <c r="BX928" s="5"/>
      <c r="BY928" s="5"/>
      <c r="BZ928" s="5"/>
      <c r="CA928" s="5"/>
      <c r="CB928" s="5"/>
      <c r="CC928" s="5"/>
      <c r="CD928" s="5"/>
      <c r="CE928" s="5"/>
      <c r="CF928" s="5"/>
      <c r="CG928" s="5"/>
      <c r="CH928" s="5"/>
      <c r="CI928" s="5"/>
    </row>
    <row r="929" ht="14.25" customHeight="1">
      <c r="B929" s="1"/>
      <c r="D929" s="1"/>
      <c r="E929" s="33"/>
      <c r="F929" s="34"/>
      <c r="G929" s="5"/>
      <c r="H929" s="5"/>
      <c r="I929" s="5"/>
      <c r="J929" s="5"/>
      <c r="K929" s="5"/>
      <c r="L929" s="5"/>
      <c r="M929" s="32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  <c r="AE929" s="5"/>
      <c r="AF929" s="5"/>
      <c r="AG929" s="5"/>
      <c r="AH929" s="5"/>
      <c r="AI929" s="5"/>
      <c r="AJ929" s="5"/>
      <c r="AK929" s="5"/>
      <c r="AL929" s="5"/>
      <c r="AM929" s="5"/>
      <c r="AN929" s="5"/>
      <c r="AO929" s="5"/>
      <c r="AP929" s="5"/>
      <c r="AQ929" s="5"/>
      <c r="AR929" s="5"/>
      <c r="AS929" s="5"/>
      <c r="AT929" s="5"/>
      <c r="AU929" s="5"/>
      <c r="AV929" s="5"/>
      <c r="AW929" s="5"/>
      <c r="AX929" s="5"/>
      <c r="AY929" s="5"/>
      <c r="AZ929" s="5"/>
      <c r="BA929" s="5"/>
      <c r="BB929" s="5"/>
      <c r="BC929" s="5"/>
      <c r="BD929" s="5"/>
      <c r="BE929" s="5"/>
      <c r="BF929" s="5"/>
      <c r="BG929" s="5"/>
      <c r="BH929" s="5"/>
      <c r="BI929" s="5"/>
      <c r="BJ929" s="5"/>
      <c r="BK929" s="5"/>
      <c r="BL929" s="5"/>
      <c r="BM929" s="5"/>
      <c r="BN929" s="5"/>
      <c r="BO929" s="5"/>
      <c r="BP929" s="5"/>
      <c r="BQ929" s="5"/>
      <c r="BR929" s="5"/>
      <c r="BS929" s="5"/>
      <c r="BT929" s="5"/>
      <c r="BU929" s="5"/>
      <c r="BV929" s="5"/>
      <c r="BW929" s="5"/>
      <c r="BX929" s="5"/>
      <c r="BY929" s="5"/>
      <c r="BZ929" s="5"/>
      <c r="CA929" s="5"/>
      <c r="CB929" s="5"/>
      <c r="CC929" s="5"/>
      <c r="CD929" s="5"/>
      <c r="CE929" s="5"/>
      <c r="CF929" s="5"/>
      <c r="CG929" s="5"/>
      <c r="CH929" s="5"/>
      <c r="CI929" s="5"/>
    </row>
    <row r="930" ht="14.25" customHeight="1">
      <c r="B930" s="1"/>
      <c r="D930" s="1"/>
      <c r="E930" s="33"/>
      <c r="F930" s="34"/>
      <c r="G930" s="5"/>
      <c r="H930" s="5"/>
      <c r="I930" s="5"/>
      <c r="J930" s="5"/>
      <c r="K930" s="5"/>
      <c r="L930" s="5"/>
      <c r="M930" s="32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  <c r="AE930" s="5"/>
      <c r="AF930" s="5"/>
      <c r="AG930" s="5"/>
      <c r="AH930" s="5"/>
      <c r="AI930" s="5"/>
      <c r="AJ930" s="5"/>
      <c r="AK930" s="5"/>
      <c r="AL930" s="5"/>
      <c r="AM930" s="5"/>
      <c r="AN930" s="5"/>
      <c r="AO930" s="5"/>
      <c r="AP930" s="5"/>
      <c r="AQ930" s="5"/>
      <c r="AR930" s="5"/>
      <c r="AS930" s="5"/>
      <c r="AT930" s="5"/>
      <c r="AU930" s="5"/>
      <c r="AV930" s="5"/>
      <c r="AW930" s="5"/>
      <c r="AX930" s="5"/>
      <c r="AY930" s="5"/>
      <c r="AZ930" s="5"/>
      <c r="BA930" s="5"/>
      <c r="BB930" s="5"/>
      <c r="BC930" s="5"/>
      <c r="BD930" s="5"/>
      <c r="BE930" s="5"/>
      <c r="BF930" s="5"/>
      <c r="BG930" s="5"/>
      <c r="BH930" s="5"/>
      <c r="BI930" s="5"/>
      <c r="BJ930" s="5"/>
      <c r="BK930" s="5"/>
      <c r="BL930" s="5"/>
      <c r="BM930" s="5"/>
      <c r="BN930" s="5"/>
      <c r="BO930" s="5"/>
      <c r="BP930" s="5"/>
      <c r="BQ930" s="5"/>
      <c r="BR930" s="5"/>
      <c r="BS930" s="5"/>
      <c r="BT930" s="5"/>
      <c r="BU930" s="5"/>
      <c r="BV930" s="5"/>
      <c r="BW930" s="5"/>
      <c r="BX930" s="5"/>
      <c r="BY930" s="5"/>
      <c r="BZ930" s="5"/>
      <c r="CA930" s="5"/>
      <c r="CB930" s="5"/>
      <c r="CC930" s="5"/>
      <c r="CD930" s="5"/>
      <c r="CE930" s="5"/>
      <c r="CF930" s="5"/>
      <c r="CG930" s="5"/>
      <c r="CH930" s="5"/>
      <c r="CI930" s="5"/>
    </row>
    <row r="931" ht="14.25" customHeight="1">
      <c r="B931" s="1"/>
      <c r="D931" s="1"/>
      <c r="E931" s="33"/>
      <c r="F931" s="34"/>
      <c r="G931" s="5"/>
      <c r="H931" s="5"/>
      <c r="I931" s="5"/>
      <c r="J931" s="5"/>
      <c r="K931" s="5"/>
      <c r="L931" s="5"/>
      <c r="M931" s="32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  <c r="AG931" s="5"/>
      <c r="AH931" s="5"/>
      <c r="AI931" s="5"/>
      <c r="AJ931" s="5"/>
      <c r="AK931" s="5"/>
      <c r="AL931" s="5"/>
      <c r="AM931" s="5"/>
      <c r="AN931" s="5"/>
      <c r="AO931" s="5"/>
      <c r="AP931" s="5"/>
      <c r="AQ931" s="5"/>
      <c r="AR931" s="5"/>
      <c r="AS931" s="5"/>
      <c r="AT931" s="5"/>
      <c r="AU931" s="5"/>
      <c r="AV931" s="5"/>
      <c r="AW931" s="5"/>
      <c r="AX931" s="5"/>
      <c r="AY931" s="5"/>
      <c r="AZ931" s="5"/>
      <c r="BA931" s="5"/>
      <c r="BB931" s="5"/>
      <c r="BC931" s="5"/>
      <c r="BD931" s="5"/>
      <c r="BE931" s="5"/>
      <c r="BF931" s="5"/>
      <c r="BG931" s="5"/>
      <c r="BH931" s="5"/>
      <c r="BI931" s="5"/>
      <c r="BJ931" s="5"/>
      <c r="BK931" s="5"/>
      <c r="BL931" s="5"/>
      <c r="BM931" s="5"/>
      <c r="BN931" s="5"/>
      <c r="BO931" s="5"/>
      <c r="BP931" s="5"/>
      <c r="BQ931" s="5"/>
      <c r="BR931" s="5"/>
      <c r="BS931" s="5"/>
      <c r="BT931" s="5"/>
      <c r="BU931" s="5"/>
      <c r="BV931" s="5"/>
      <c r="BW931" s="5"/>
      <c r="BX931" s="5"/>
      <c r="BY931" s="5"/>
      <c r="BZ931" s="5"/>
      <c r="CA931" s="5"/>
      <c r="CB931" s="5"/>
      <c r="CC931" s="5"/>
      <c r="CD931" s="5"/>
      <c r="CE931" s="5"/>
      <c r="CF931" s="5"/>
      <c r="CG931" s="5"/>
      <c r="CH931" s="5"/>
      <c r="CI931" s="5"/>
    </row>
    <row r="932" ht="14.25" customHeight="1">
      <c r="B932" s="1"/>
      <c r="D932" s="1"/>
      <c r="E932" s="33"/>
      <c r="F932" s="34"/>
      <c r="G932" s="5"/>
      <c r="H932" s="5"/>
      <c r="I932" s="5"/>
      <c r="J932" s="5"/>
      <c r="K932" s="5"/>
      <c r="L932" s="5"/>
      <c r="M932" s="32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  <c r="AE932" s="5"/>
      <c r="AF932" s="5"/>
      <c r="AG932" s="5"/>
      <c r="AH932" s="5"/>
      <c r="AI932" s="5"/>
      <c r="AJ932" s="5"/>
      <c r="AK932" s="5"/>
      <c r="AL932" s="5"/>
      <c r="AM932" s="5"/>
      <c r="AN932" s="5"/>
      <c r="AO932" s="5"/>
      <c r="AP932" s="5"/>
      <c r="AQ932" s="5"/>
      <c r="AR932" s="5"/>
      <c r="AS932" s="5"/>
      <c r="AT932" s="5"/>
      <c r="AU932" s="5"/>
      <c r="AV932" s="5"/>
      <c r="AW932" s="5"/>
      <c r="AX932" s="5"/>
      <c r="AY932" s="5"/>
      <c r="AZ932" s="5"/>
      <c r="BA932" s="5"/>
      <c r="BB932" s="5"/>
      <c r="BC932" s="5"/>
      <c r="BD932" s="5"/>
      <c r="BE932" s="5"/>
      <c r="BF932" s="5"/>
      <c r="BG932" s="5"/>
      <c r="BH932" s="5"/>
      <c r="BI932" s="5"/>
      <c r="BJ932" s="5"/>
      <c r="BK932" s="5"/>
      <c r="BL932" s="5"/>
      <c r="BM932" s="5"/>
      <c r="BN932" s="5"/>
      <c r="BO932" s="5"/>
      <c r="BP932" s="5"/>
      <c r="BQ932" s="5"/>
      <c r="BR932" s="5"/>
      <c r="BS932" s="5"/>
      <c r="BT932" s="5"/>
      <c r="BU932" s="5"/>
      <c r="BV932" s="5"/>
      <c r="BW932" s="5"/>
      <c r="BX932" s="5"/>
      <c r="BY932" s="5"/>
      <c r="BZ932" s="5"/>
      <c r="CA932" s="5"/>
      <c r="CB932" s="5"/>
      <c r="CC932" s="5"/>
      <c r="CD932" s="5"/>
      <c r="CE932" s="5"/>
      <c r="CF932" s="5"/>
      <c r="CG932" s="5"/>
      <c r="CH932" s="5"/>
      <c r="CI932" s="5"/>
    </row>
    <row r="933" ht="14.25" customHeight="1">
      <c r="B933" s="1"/>
      <c r="D933" s="1"/>
      <c r="E933" s="33"/>
      <c r="F933" s="34"/>
      <c r="G933" s="5"/>
      <c r="H933" s="5"/>
      <c r="I933" s="5"/>
      <c r="J933" s="5"/>
      <c r="K933" s="5"/>
      <c r="L933" s="5"/>
      <c r="M933" s="32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  <c r="AE933" s="5"/>
      <c r="AF933" s="5"/>
      <c r="AG933" s="5"/>
      <c r="AH933" s="5"/>
      <c r="AI933" s="5"/>
      <c r="AJ933" s="5"/>
      <c r="AK933" s="5"/>
      <c r="AL933" s="5"/>
      <c r="AM933" s="5"/>
      <c r="AN933" s="5"/>
      <c r="AO933" s="5"/>
      <c r="AP933" s="5"/>
      <c r="AQ933" s="5"/>
      <c r="AR933" s="5"/>
      <c r="AS933" s="5"/>
      <c r="AT933" s="5"/>
      <c r="AU933" s="5"/>
      <c r="AV933" s="5"/>
      <c r="AW933" s="5"/>
      <c r="AX933" s="5"/>
      <c r="AY933" s="5"/>
      <c r="AZ933" s="5"/>
      <c r="BA933" s="5"/>
      <c r="BB933" s="5"/>
      <c r="BC933" s="5"/>
      <c r="BD933" s="5"/>
      <c r="BE933" s="5"/>
      <c r="BF933" s="5"/>
      <c r="BG933" s="5"/>
      <c r="BH933" s="5"/>
      <c r="BI933" s="5"/>
      <c r="BJ933" s="5"/>
      <c r="BK933" s="5"/>
      <c r="BL933" s="5"/>
      <c r="BM933" s="5"/>
      <c r="BN933" s="5"/>
      <c r="BO933" s="5"/>
      <c r="BP933" s="5"/>
      <c r="BQ933" s="5"/>
      <c r="BR933" s="5"/>
      <c r="BS933" s="5"/>
      <c r="BT933" s="5"/>
      <c r="BU933" s="5"/>
      <c r="BV933" s="5"/>
      <c r="BW933" s="5"/>
      <c r="BX933" s="5"/>
      <c r="BY933" s="5"/>
      <c r="BZ933" s="5"/>
      <c r="CA933" s="5"/>
      <c r="CB933" s="5"/>
      <c r="CC933" s="5"/>
      <c r="CD933" s="5"/>
      <c r="CE933" s="5"/>
      <c r="CF933" s="5"/>
      <c r="CG933" s="5"/>
      <c r="CH933" s="5"/>
      <c r="CI933" s="5"/>
    </row>
    <row r="934" ht="14.25" customHeight="1">
      <c r="B934" s="1"/>
      <c r="D934" s="1"/>
      <c r="E934" s="33"/>
      <c r="F934" s="34"/>
      <c r="G934" s="5"/>
      <c r="H934" s="5"/>
      <c r="I934" s="5"/>
      <c r="J934" s="5"/>
      <c r="K934" s="5"/>
      <c r="L934" s="5"/>
      <c r="M934" s="32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  <c r="AG934" s="5"/>
      <c r="AH934" s="5"/>
      <c r="AI934" s="5"/>
      <c r="AJ934" s="5"/>
      <c r="AK934" s="5"/>
      <c r="AL934" s="5"/>
      <c r="AM934" s="5"/>
      <c r="AN934" s="5"/>
      <c r="AO934" s="5"/>
      <c r="AP934" s="5"/>
      <c r="AQ934" s="5"/>
      <c r="AR934" s="5"/>
      <c r="AS934" s="5"/>
      <c r="AT934" s="5"/>
      <c r="AU934" s="5"/>
      <c r="AV934" s="5"/>
      <c r="AW934" s="5"/>
      <c r="AX934" s="5"/>
      <c r="AY934" s="5"/>
      <c r="AZ934" s="5"/>
      <c r="BA934" s="5"/>
      <c r="BB934" s="5"/>
      <c r="BC934" s="5"/>
      <c r="BD934" s="5"/>
      <c r="BE934" s="5"/>
      <c r="BF934" s="5"/>
      <c r="BG934" s="5"/>
      <c r="BH934" s="5"/>
      <c r="BI934" s="5"/>
      <c r="BJ934" s="5"/>
      <c r="BK934" s="5"/>
      <c r="BL934" s="5"/>
      <c r="BM934" s="5"/>
      <c r="BN934" s="5"/>
      <c r="BO934" s="5"/>
      <c r="BP934" s="5"/>
      <c r="BQ934" s="5"/>
      <c r="BR934" s="5"/>
      <c r="BS934" s="5"/>
      <c r="BT934" s="5"/>
      <c r="BU934" s="5"/>
      <c r="BV934" s="5"/>
      <c r="BW934" s="5"/>
      <c r="BX934" s="5"/>
      <c r="BY934" s="5"/>
      <c r="BZ934" s="5"/>
      <c r="CA934" s="5"/>
      <c r="CB934" s="5"/>
      <c r="CC934" s="5"/>
      <c r="CD934" s="5"/>
      <c r="CE934" s="5"/>
      <c r="CF934" s="5"/>
      <c r="CG934" s="5"/>
      <c r="CH934" s="5"/>
      <c r="CI934" s="5"/>
    </row>
    <row r="935" ht="14.25" customHeight="1">
      <c r="B935" s="1"/>
      <c r="D935" s="1"/>
      <c r="E935" s="33"/>
      <c r="F935" s="34"/>
      <c r="G935" s="5"/>
      <c r="H935" s="5"/>
      <c r="I935" s="5"/>
      <c r="J935" s="5"/>
      <c r="K935" s="5"/>
      <c r="L935" s="5"/>
      <c r="M935" s="32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  <c r="AE935" s="5"/>
      <c r="AF935" s="5"/>
      <c r="AG935" s="5"/>
      <c r="AH935" s="5"/>
      <c r="AI935" s="5"/>
      <c r="AJ935" s="5"/>
      <c r="AK935" s="5"/>
      <c r="AL935" s="5"/>
      <c r="AM935" s="5"/>
      <c r="AN935" s="5"/>
      <c r="AO935" s="5"/>
      <c r="AP935" s="5"/>
      <c r="AQ935" s="5"/>
      <c r="AR935" s="5"/>
      <c r="AS935" s="5"/>
      <c r="AT935" s="5"/>
      <c r="AU935" s="5"/>
      <c r="AV935" s="5"/>
      <c r="AW935" s="5"/>
      <c r="AX935" s="5"/>
      <c r="AY935" s="5"/>
      <c r="AZ935" s="5"/>
      <c r="BA935" s="5"/>
      <c r="BB935" s="5"/>
      <c r="BC935" s="5"/>
      <c r="BD935" s="5"/>
      <c r="BE935" s="5"/>
      <c r="BF935" s="5"/>
      <c r="BG935" s="5"/>
      <c r="BH935" s="5"/>
      <c r="BI935" s="5"/>
      <c r="BJ935" s="5"/>
      <c r="BK935" s="5"/>
      <c r="BL935" s="5"/>
      <c r="BM935" s="5"/>
      <c r="BN935" s="5"/>
      <c r="BO935" s="5"/>
      <c r="BP935" s="5"/>
      <c r="BQ935" s="5"/>
      <c r="BR935" s="5"/>
      <c r="BS935" s="5"/>
      <c r="BT935" s="5"/>
      <c r="BU935" s="5"/>
      <c r="BV935" s="5"/>
      <c r="BW935" s="5"/>
      <c r="BX935" s="5"/>
      <c r="BY935" s="5"/>
      <c r="BZ935" s="5"/>
      <c r="CA935" s="5"/>
      <c r="CB935" s="5"/>
      <c r="CC935" s="5"/>
      <c r="CD935" s="5"/>
      <c r="CE935" s="5"/>
      <c r="CF935" s="5"/>
      <c r="CG935" s="5"/>
      <c r="CH935" s="5"/>
      <c r="CI935" s="5"/>
    </row>
    <row r="936" ht="14.25" customHeight="1">
      <c r="B936" s="1"/>
      <c r="D936" s="1"/>
      <c r="E936" s="33"/>
      <c r="F936" s="34"/>
      <c r="G936" s="5"/>
      <c r="H936" s="5"/>
      <c r="I936" s="5"/>
      <c r="J936" s="5"/>
      <c r="K936" s="5"/>
      <c r="L936" s="5"/>
      <c r="M936" s="32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  <c r="AE936" s="5"/>
      <c r="AF936" s="5"/>
      <c r="AG936" s="5"/>
      <c r="AH936" s="5"/>
      <c r="AI936" s="5"/>
      <c r="AJ936" s="5"/>
      <c r="AK936" s="5"/>
      <c r="AL936" s="5"/>
      <c r="AM936" s="5"/>
      <c r="AN936" s="5"/>
      <c r="AO936" s="5"/>
      <c r="AP936" s="5"/>
      <c r="AQ936" s="5"/>
      <c r="AR936" s="5"/>
      <c r="AS936" s="5"/>
      <c r="AT936" s="5"/>
      <c r="AU936" s="5"/>
      <c r="AV936" s="5"/>
      <c r="AW936" s="5"/>
      <c r="AX936" s="5"/>
      <c r="AY936" s="5"/>
      <c r="AZ936" s="5"/>
      <c r="BA936" s="5"/>
      <c r="BB936" s="5"/>
      <c r="BC936" s="5"/>
      <c r="BD936" s="5"/>
      <c r="BE936" s="5"/>
      <c r="BF936" s="5"/>
      <c r="BG936" s="5"/>
      <c r="BH936" s="5"/>
      <c r="BI936" s="5"/>
      <c r="BJ936" s="5"/>
      <c r="BK936" s="5"/>
      <c r="BL936" s="5"/>
      <c r="BM936" s="5"/>
      <c r="BN936" s="5"/>
      <c r="BO936" s="5"/>
      <c r="BP936" s="5"/>
      <c r="BQ936" s="5"/>
      <c r="BR936" s="5"/>
      <c r="BS936" s="5"/>
      <c r="BT936" s="5"/>
      <c r="BU936" s="5"/>
      <c r="BV936" s="5"/>
      <c r="BW936" s="5"/>
      <c r="BX936" s="5"/>
      <c r="BY936" s="5"/>
      <c r="BZ936" s="5"/>
      <c r="CA936" s="5"/>
      <c r="CB936" s="5"/>
      <c r="CC936" s="5"/>
      <c r="CD936" s="5"/>
      <c r="CE936" s="5"/>
      <c r="CF936" s="5"/>
      <c r="CG936" s="5"/>
      <c r="CH936" s="5"/>
      <c r="CI936" s="5"/>
    </row>
    <row r="937" ht="14.25" customHeight="1">
      <c r="B937" s="1"/>
      <c r="D937" s="1"/>
      <c r="E937" s="33"/>
      <c r="F937" s="34"/>
      <c r="G937" s="5"/>
      <c r="H937" s="5"/>
      <c r="I937" s="5"/>
      <c r="J937" s="5"/>
      <c r="K937" s="5"/>
      <c r="L937" s="5"/>
      <c r="M937" s="32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  <c r="AG937" s="5"/>
      <c r="AH937" s="5"/>
      <c r="AI937" s="5"/>
      <c r="AJ937" s="5"/>
      <c r="AK937" s="5"/>
      <c r="AL937" s="5"/>
      <c r="AM937" s="5"/>
      <c r="AN937" s="5"/>
      <c r="AO937" s="5"/>
      <c r="AP937" s="5"/>
      <c r="AQ937" s="5"/>
      <c r="AR937" s="5"/>
      <c r="AS937" s="5"/>
      <c r="AT937" s="5"/>
      <c r="AU937" s="5"/>
      <c r="AV937" s="5"/>
      <c r="AW937" s="5"/>
      <c r="AX937" s="5"/>
      <c r="AY937" s="5"/>
      <c r="AZ937" s="5"/>
      <c r="BA937" s="5"/>
      <c r="BB937" s="5"/>
      <c r="BC937" s="5"/>
      <c r="BD937" s="5"/>
      <c r="BE937" s="5"/>
      <c r="BF937" s="5"/>
      <c r="BG937" s="5"/>
      <c r="BH937" s="5"/>
      <c r="BI937" s="5"/>
      <c r="BJ937" s="5"/>
      <c r="BK937" s="5"/>
      <c r="BL937" s="5"/>
      <c r="BM937" s="5"/>
      <c r="BN937" s="5"/>
      <c r="BO937" s="5"/>
      <c r="BP937" s="5"/>
      <c r="BQ937" s="5"/>
      <c r="BR937" s="5"/>
      <c r="BS937" s="5"/>
      <c r="BT937" s="5"/>
      <c r="BU937" s="5"/>
      <c r="BV937" s="5"/>
      <c r="BW937" s="5"/>
      <c r="BX937" s="5"/>
      <c r="BY937" s="5"/>
      <c r="BZ937" s="5"/>
      <c r="CA937" s="5"/>
      <c r="CB937" s="5"/>
      <c r="CC937" s="5"/>
      <c r="CD937" s="5"/>
      <c r="CE937" s="5"/>
      <c r="CF937" s="5"/>
      <c r="CG937" s="5"/>
      <c r="CH937" s="5"/>
      <c r="CI937" s="5"/>
    </row>
    <row r="938" ht="14.25" customHeight="1">
      <c r="B938" s="1"/>
      <c r="D938" s="1"/>
      <c r="E938" s="33"/>
      <c r="F938" s="34"/>
      <c r="G938" s="5"/>
      <c r="H938" s="5"/>
      <c r="I938" s="5"/>
      <c r="J938" s="5"/>
      <c r="K938" s="5"/>
      <c r="L938" s="5"/>
      <c r="M938" s="32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  <c r="AG938" s="5"/>
      <c r="AH938" s="5"/>
      <c r="AI938" s="5"/>
      <c r="AJ938" s="5"/>
      <c r="AK938" s="5"/>
      <c r="AL938" s="5"/>
      <c r="AM938" s="5"/>
      <c r="AN938" s="5"/>
      <c r="AO938" s="5"/>
      <c r="AP938" s="5"/>
      <c r="AQ938" s="5"/>
      <c r="AR938" s="5"/>
      <c r="AS938" s="5"/>
      <c r="AT938" s="5"/>
      <c r="AU938" s="5"/>
      <c r="AV938" s="5"/>
      <c r="AW938" s="5"/>
      <c r="AX938" s="5"/>
      <c r="AY938" s="5"/>
      <c r="AZ938" s="5"/>
      <c r="BA938" s="5"/>
      <c r="BB938" s="5"/>
      <c r="BC938" s="5"/>
      <c r="BD938" s="5"/>
      <c r="BE938" s="5"/>
      <c r="BF938" s="5"/>
      <c r="BG938" s="5"/>
      <c r="BH938" s="5"/>
      <c r="BI938" s="5"/>
      <c r="BJ938" s="5"/>
      <c r="BK938" s="5"/>
      <c r="BL938" s="5"/>
      <c r="BM938" s="5"/>
      <c r="BN938" s="5"/>
      <c r="BO938" s="5"/>
      <c r="BP938" s="5"/>
      <c r="BQ938" s="5"/>
      <c r="BR938" s="5"/>
      <c r="BS938" s="5"/>
      <c r="BT938" s="5"/>
      <c r="BU938" s="5"/>
      <c r="BV938" s="5"/>
      <c r="BW938" s="5"/>
      <c r="BX938" s="5"/>
      <c r="BY938" s="5"/>
      <c r="BZ938" s="5"/>
      <c r="CA938" s="5"/>
      <c r="CB938" s="5"/>
      <c r="CC938" s="5"/>
      <c r="CD938" s="5"/>
      <c r="CE938" s="5"/>
      <c r="CF938" s="5"/>
      <c r="CG938" s="5"/>
      <c r="CH938" s="5"/>
      <c r="CI938" s="5"/>
    </row>
    <row r="939" ht="14.25" customHeight="1">
      <c r="B939" s="1"/>
      <c r="D939" s="1"/>
      <c r="E939" s="33"/>
      <c r="F939" s="34"/>
      <c r="G939" s="5"/>
      <c r="H939" s="5"/>
      <c r="I939" s="5"/>
      <c r="J939" s="5"/>
      <c r="K939" s="5"/>
      <c r="L939" s="5"/>
      <c r="M939" s="32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  <c r="AE939" s="5"/>
      <c r="AF939" s="5"/>
      <c r="AG939" s="5"/>
      <c r="AH939" s="5"/>
      <c r="AI939" s="5"/>
      <c r="AJ939" s="5"/>
      <c r="AK939" s="5"/>
      <c r="AL939" s="5"/>
      <c r="AM939" s="5"/>
      <c r="AN939" s="5"/>
      <c r="AO939" s="5"/>
      <c r="AP939" s="5"/>
      <c r="AQ939" s="5"/>
      <c r="AR939" s="5"/>
      <c r="AS939" s="5"/>
      <c r="AT939" s="5"/>
      <c r="AU939" s="5"/>
      <c r="AV939" s="5"/>
      <c r="AW939" s="5"/>
      <c r="AX939" s="5"/>
      <c r="AY939" s="5"/>
      <c r="AZ939" s="5"/>
      <c r="BA939" s="5"/>
      <c r="BB939" s="5"/>
      <c r="BC939" s="5"/>
      <c r="BD939" s="5"/>
      <c r="BE939" s="5"/>
      <c r="BF939" s="5"/>
      <c r="BG939" s="5"/>
      <c r="BH939" s="5"/>
      <c r="BI939" s="5"/>
      <c r="BJ939" s="5"/>
      <c r="BK939" s="5"/>
      <c r="BL939" s="5"/>
      <c r="BM939" s="5"/>
      <c r="BN939" s="5"/>
      <c r="BO939" s="5"/>
      <c r="BP939" s="5"/>
      <c r="BQ939" s="5"/>
      <c r="BR939" s="5"/>
      <c r="BS939" s="5"/>
      <c r="BT939" s="5"/>
      <c r="BU939" s="5"/>
      <c r="BV939" s="5"/>
      <c r="BW939" s="5"/>
      <c r="BX939" s="5"/>
      <c r="BY939" s="5"/>
      <c r="BZ939" s="5"/>
      <c r="CA939" s="5"/>
      <c r="CB939" s="5"/>
      <c r="CC939" s="5"/>
      <c r="CD939" s="5"/>
      <c r="CE939" s="5"/>
      <c r="CF939" s="5"/>
      <c r="CG939" s="5"/>
      <c r="CH939" s="5"/>
      <c r="CI939" s="5"/>
    </row>
    <row r="940" ht="14.25" customHeight="1">
      <c r="B940" s="1"/>
      <c r="D940" s="1"/>
      <c r="E940" s="33"/>
      <c r="F940" s="34"/>
      <c r="G940" s="5"/>
      <c r="H940" s="5"/>
      <c r="I940" s="5"/>
      <c r="J940" s="5"/>
      <c r="K940" s="5"/>
      <c r="L940" s="5"/>
      <c r="M940" s="32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  <c r="AG940" s="5"/>
      <c r="AH940" s="5"/>
      <c r="AI940" s="5"/>
      <c r="AJ940" s="5"/>
      <c r="AK940" s="5"/>
      <c r="AL940" s="5"/>
      <c r="AM940" s="5"/>
      <c r="AN940" s="5"/>
      <c r="AO940" s="5"/>
      <c r="AP940" s="5"/>
      <c r="AQ940" s="5"/>
      <c r="AR940" s="5"/>
      <c r="AS940" s="5"/>
      <c r="AT940" s="5"/>
      <c r="AU940" s="5"/>
      <c r="AV940" s="5"/>
      <c r="AW940" s="5"/>
      <c r="AX940" s="5"/>
      <c r="AY940" s="5"/>
      <c r="AZ940" s="5"/>
      <c r="BA940" s="5"/>
      <c r="BB940" s="5"/>
      <c r="BC940" s="5"/>
      <c r="BD940" s="5"/>
      <c r="BE940" s="5"/>
      <c r="BF940" s="5"/>
      <c r="BG940" s="5"/>
      <c r="BH940" s="5"/>
      <c r="BI940" s="5"/>
      <c r="BJ940" s="5"/>
      <c r="BK940" s="5"/>
      <c r="BL940" s="5"/>
      <c r="BM940" s="5"/>
      <c r="BN940" s="5"/>
      <c r="BO940" s="5"/>
      <c r="BP940" s="5"/>
      <c r="BQ940" s="5"/>
      <c r="BR940" s="5"/>
      <c r="BS940" s="5"/>
      <c r="BT940" s="5"/>
      <c r="BU940" s="5"/>
      <c r="BV940" s="5"/>
      <c r="BW940" s="5"/>
      <c r="BX940" s="5"/>
      <c r="BY940" s="5"/>
      <c r="BZ940" s="5"/>
      <c r="CA940" s="5"/>
      <c r="CB940" s="5"/>
      <c r="CC940" s="5"/>
      <c r="CD940" s="5"/>
      <c r="CE940" s="5"/>
      <c r="CF940" s="5"/>
      <c r="CG940" s="5"/>
      <c r="CH940" s="5"/>
      <c r="CI940" s="5"/>
    </row>
    <row r="941" ht="14.25" customHeight="1">
      <c r="B941" s="1"/>
      <c r="D941" s="1"/>
      <c r="E941" s="33"/>
      <c r="F941" s="34"/>
      <c r="G941" s="5"/>
      <c r="H941" s="5"/>
      <c r="I941" s="5"/>
      <c r="J941" s="5"/>
      <c r="K941" s="5"/>
      <c r="L941" s="5"/>
      <c r="M941" s="32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  <c r="AG941" s="5"/>
      <c r="AH941" s="5"/>
      <c r="AI941" s="5"/>
      <c r="AJ941" s="5"/>
      <c r="AK941" s="5"/>
      <c r="AL941" s="5"/>
      <c r="AM941" s="5"/>
      <c r="AN941" s="5"/>
      <c r="AO941" s="5"/>
      <c r="AP941" s="5"/>
      <c r="AQ941" s="5"/>
      <c r="AR941" s="5"/>
      <c r="AS941" s="5"/>
      <c r="AT941" s="5"/>
      <c r="AU941" s="5"/>
      <c r="AV941" s="5"/>
      <c r="AW941" s="5"/>
      <c r="AX941" s="5"/>
      <c r="AY941" s="5"/>
      <c r="AZ941" s="5"/>
      <c r="BA941" s="5"/>
      <c r="BB941" s="5"/>
      <c r="BC941" s="5"/>
      <c r="BD941" s="5"/>
      <c r="BE941" s="5"/>
      <c r="BF941" s="5"/>
      <c r="BG941" s="5"/>
      <c r="BH941" s="5"/>
      <c r="BI941" s="5"/>
      <c r="BJ941" s="5"/>
      <c r="BK941" s="5"/>
      <c r="BL941" s="5"/>
      <c r="BM941" s="5"/>
      <c r="BN941" s="5"/>
      <c r="BO941" s="5"/>
      <c r="BP941" s="5"/>
      <c r="BQ941" s="5"/>
      <c r="BR941" s="5"/>
      <c r="BS941" s="5"/>
      <c r="BT941" s="5"/>
      <c r="BU941" s="5"/>
      <c r="BV941" s="5"/>
      <c r="BW941" s="5"/>
      <c r="BX941" s="5"/>
      <c r="BY941" s="5"/>
      <c r="BZ941" s="5"/>
      <c r="CA941" s="5"/>
      <c r="CB941" s="5"/>
      <c r="CC941" s="5"/>
      <c r="CD941" s="5"/>
      <c r="CE941" s="5"/>
      <c r="CF941" s="5"/>
      <c r="CG941" s="5"/>
      <c r="CH941" s="5"/>
      <c r="CI941" s="5"/>
    </row>
    <row r="942" ht="14.25" customHeight="1">
      <c r="B942" s="1"/>
      <c r="D942" s="1"/>
      <c r="E942" s="33"/>
      <c r="F942" s="34"/>
      <c r="G942" s="5"/>
      <c r="H942" s="5"/>
      <c r="I942" s="5"/>
      <c r="J942" s="5"/>
      <c r="K942" s="5"/>
      <c r="L942" s="5"/>
      <c r="M942" s="32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  <c r="AE942" s="5"/>
      <c r="AF942" s="5"/>
      <c r="AG942" s="5"/>
      <c r="AH942" s="5"/>
      <c r="AI942" s="5"/>
      <c r="AJ942" s="5"/>
      <c r="AK942" s="5"/>
      <c r="AL942" s="5"/>
      <c r="AM942" s="5"/>
      <c r="AN942" s="5"/>
      <c r="AO942" s="5"/>
      <c r="AP942" s="5"/>
      <c r="AQ942" s="5"/>
      <c r="AR942" s="5"/>
      <c r="AS942" s="5"/>
      <c r="AT942" s="5"/>
      <c r="AU942" s="5"/>
      <c r="AV942" s="5"/>
      <c r="AW942" s="5"/>
      <c r="AX942" s="5"/>
      <c r="AY942" s="5"/>
      <c r="AZ942" s="5"/>
      <c r="BA942" s="5"/>
      <c r="BB942" s="5"/>
      <c r="BC942" s="5"/>
      <c r="BD942" s="5"/>
      <c r="BE942" s="5"/>
      <c r="BF942" s="5"/>
      <c r="BG942" s="5"/>
      <c r="BH942" s="5"/>
      <c r="BI942" s="5"/>
      <c r="BJ942" s="5"/>
      <c r="BK942" s="5"/>
      <c r="BL942" s="5"/>
      <c r="BM942" s="5"/>
      <c r="BN942" s="5"/>
      <c r="BO942" s="5"/>
      <c r="BP942" s="5"/>
      <c r="BQ942" s="5"/>
      <c r="BR942" s="5"/>
      <c r="BS942" s="5"/>
      <c r="BT942" s="5"/>
      <c r="BU942" s="5"/>
      <c r="BV942" s="5"/>
      <c r="BW942" s="5"/>
      <c r="BX942" s="5"/>
      <c r="BY942" s="5"/>
      <c r="BZ942" s="5"/>
      <c r="CA942" s="5"/>
      <c r="CB942" s="5"/>
      <c r="CC942" s="5"/>
      <c r="CD942" s="5"/>
      <c r="CE942" s="5"/>
      <c r="CF942" s="5"/>
      <c r="CG942" s="5"/>
      <c r="CH942" s="5"/>
      <c r="CI942" s="5"/>
    </row>
    <row r="943" ht="14.25" customHeight="1">
      <c r="B943" s="1"/>
      <c r="D943" s="1"/>
      <c r="E943" s="33"/>
      <c r="F943" s="34"/>
      <c r="G943" s="5"/>
      <c r="H943" s="5"/>
      <c r="I943" s="5"/>
      <c r="J943" s="5"/>
      <c r="K943" s="5"/>
      <c r="L943" s="5"/>
      <c r="M943" s="32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  <c r="AG943" s="5"/>
      <c r="AH943" s="5"/>
      <c r="AI943" s="5"/>
      <c r="AJ943" s="5"/>
      <c r="AK943" s="5"/>
      <c r="AL943" s="5"/>
      <c r="AM943" s="5"/>
      <c r="AN943" s="5"/>
      <c r="AO943" s="5"/>
      <c r="AP943" s="5"/>
      <c r="AQ943" s="5"/>
      <c r="AR943" s="5"/>
      <c r="AS943" s="5"/>
      <c r="AT943" s="5"/>
      <c r="AU943" s="5"/>
      <c r="AV943" s="5"/>
      <c r="AW943" s="5"/>
      <c r="AX943" s="5"/>
      <c r="AY943" s="5"/>
      <c r="AZ943" s="5"/>
      <c r="BA943" s="5"/>
      <c r="BB943" s="5"/>
      <c r="BC943" s="5"/>
      <c r="BD943" s="5"/>
      <c r="BE943" s="5"/>
      <c r="BF943" s="5"/>
      <c r="BG943" s="5"/>
      <c r="BH943" s="5"/>
      <c r="BI943" s="5"/>
      <c r="BJ943" s="5"/>
      <c r="BK943" s="5"/>
      <c r="BL943" s="5"/>
      <c r="BM943" s="5"/>
      <c r="BN943" s="5"/>
      <c r="BO943" s="5"/>
      <c r="BP943" s="5"/>
      <c r="BQ943" s="5"/>
      <c r="BR943" s="5"/>
      <c r="BS943" s="5"/>
      <c r="BT943" s="5"/>
      <c r="BU943" s="5"/>
      <c r="BV943" s="5"/>
      <c r="BW943" s="5"/>
      <c r="BX943" s="5"/>
      <c r="BY943" s="5"/>
      <c r="BZ943" s="5"/>
      <c r="CA943" s="5"/>
      <c r="CB943" s="5"/>
      <c r="CC943" s="5"/>
      <c r="CD943" s="5"/>
      <c r="CE943" s="5"/>
      <c r="CF943" s="5"/>
      <c r="CG943" s="5"/>
      <c r="CH943" s="5"/>
      <c r="CI943" s="5"/>
    </row>
    <row r="944" ht="14.25" customHeight="1">
      <c r="B944" s="1"/>
      <c r="D944" s="1"/>
      <c r="E944" s="33"/>
      <c r="F944" s="34"/>
      <c r="G944" s="5"/>
      <c r="H944" s="5"/>
      <c r="I944" s="5"/>
      <c r="J944" s="5"/>
      <c r="K944" s="5"/>
      <c r="L944" s="5"/>
      <c r="M944" s="32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  <c r="AE944" s="5"/>
      <c r="AF944" s="5"/>
      <c r="AG944" s="5"/>
      <c r="AH944" s="5"/>
      <c r="AI944" s="5"/>
      <c r="AJ944" s="5"/>
      <c r="AK944" s="5"/>
      <c r="AL944" s="5"/>
      <c r="AM944" s="5"/>
      <c r="AN944" s="5"/>
      <c r="AO944" s="5"/>
      <c r="AP944" s="5"/>
      <c r="AQ944" s="5"/>
      <c r="AR944" s="5"/>
      <c r="AS944" s="5"/>
      <c r="AT944" s="5"/>
      <c r="AU944" s="5"/>
      <c r="AV944" s="5"/>
      <c r="AW944" s="5"/>
      <c r="AX944" s="5"/>
      <c r="AY944" s="5"/>
      <c r="AZ944" s="5"/>
      <c r="BA944" s="5"/>
      <c r="BB944" s="5"/>
      <c r="BC944" s="5"/>
      <c r="BD944" s="5"/>
      <c r="BE944" s="5"/>
      <c r="BF944" s="5"/>
      <c r="BG944" s="5"/>
      <c r="BH944" s="5"/>
      <c r="BI944" s="5"/>
      <c r="BJ944" s="5"/>
      <c r="BK944" s="5"/>
      <c r="BL944" s="5"/>
      <c r="BM944" s="5"/>
      <c r="BN944" s="5"/>
      <c r="BO944" s="5"/>
      <c r="BP944" s="5"/>
      <c r="BQ944" s="5"/>
      <c r="BR944" s="5"/>
      <c r="BS944" s="5"/>
      <c r="BT944" s="5"/>
      <c r="BU944" s="5"/>
      <c r="BV944" s="5"/>
      <c r="BW944" s="5"/>
      <c r="BX944" s="5"/>
      <c r="BY944" s="5"/>
      <c r="BZ944" s="5"/>
      <c r="CA944" s="5"/>
      <c r="CB944" s="5"/>
      <c r="CC944" s="5"/>
      <c r="CD944" s="5"/>
      <c r="CE944" s="5"/>
      <c r="CF944" s="5"/>
      <c r="CG944" s="5"/>
      <c r="CH944" s="5"/>
      <c r="CI944" s="5"/>
    </row>
    <row r="945" ht="14.25" customHeight="1">
      <c r="B945" s="1"/>
      <c r="D945" s="1"/>
      <c r="E945" s="33"/>
      <c r="F945" s="34"/>
      <c r="G945" s="5"/>
      <c r="H945" s="5"/>
      <c r="I945" s="5"/>
      <c r="J945" s="5"/>
      <c r="K945" s="5"/>
      <c r="L945" s="5"/>
      <c r="M945" s="32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  <c r="AE945" s="5"/>
      <c r="AF945" s="5"/>
      <c r="AG945" s="5"/>
      <c r="AH945" s="5"/>
      <c r="AI945" s="5"/>
      <c r="AJ945" s="5"/>
      <c r="AK945" s="5"/>
      <c r="AL945" s="5"/>
      <c r="AM945" s="5"/>
      <c r="AN945" s="5"/>
      <c r="AO945" s="5"/>
      <c r="AP945" s="5"/>
      <c r="AQ945" s="5"/>
      <c r="AR945" s="5"/>
      <c r="AS945" s="5"/>
      <c r="AT945" s="5"/>
      <c r="AU945" s="5"/>
      <c r="AV945" s="5"/>
      <c r="AW945" s="5"/>
      <c r="AX945" s="5"/>
      <c r="AY945" s="5"/>
      <c r="AZ945" s="5"/>
      <c r="BA945" s="5"/>
      <c r="BB945" s="5"/>
      <c r="BC945" s="5"/>
      <c r="BD945" s="5"/>
      <c r="BE945" s="5"/>
      <c r="BF945" s="5"/>
      <c r="BG945" s="5"/>
      <c r="BH945" s="5"/>
      <c r="BI945" s="5"/>
      <c r="BJ945" s="5"/>
      <c r="BK945" s="5"/>
      <c r="BL945" s="5"/>
      <c r="BM945" s="5"/>
      <c r="BN945" s="5"/>
      <c r="BO945" s="5"/>
      <c r="BP945" s="5"/>
      <c r="BQ945" s="5"/>
      <c r="BR945" s="5"/>
      <c r="BS945" s="5"/>
      <c r="BT945" s="5"/>
      <c r="BU945" s="5"/>
      <c r="BV945" s="5"/>
      <c r="BW945" s="5"/>
      <c r="BX945" s="5"/>
      <c r="BY945" s="5"/>
      <c r="BZ945" s="5"/>
      <c r="CA945" s="5"/>
      <c r="CB945" s="5"/>
      <c r="CC945" s="5"/>
      <c r="CD945" s="5"/>
      <c r="CE945" s="5"/>
      <c r="CF945" s="5"/>
      <c r="CG945" s="5"/>
      <c r="CH945" s="5"/>
      <c r="CI945" s="5"/>
    </row>
    <row r="946" ht="14.25" customHeight="1">
      <c r="B946" s="1"/>
      <c r="D946" s="1"/>
      <c r="E946" s="33"/>
      <c r="F946" s="34"/>
      <c r="G946" s="5"/>
      <c r="H946" s="5"/>
      <c r="I946" s="5"/>
      <c r="J946" s="5"/>
      <c r="K946" s="5"/>
      <c r="L946" s="5"/>
      <c r="M946" s="32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  <c r="AG946" s="5"/>
      <c r="AH946" s="5"/>
      <c r="AI946" s="5"/>
      <c r="AJ946" s="5"/>
      <c r="AK946" s="5"/>
      <c r="AL946" s="5"/>
      <c r="AM946" s="5"/>
      <c r="AN946" s="5"/>
      <c r="AO946" s="5"/>
      <c r="AP946" s="5"/>
      <c r="AQ946" s="5"/>
      <c r="AR946" s="5"/>
      <c r="AS946" s="5"/>
      <c r="AT946" s="5"/>
      <c r="AU946" s="5"/>
      <c r="AV946" s="5"/>
      <c r="AW946" s="5"/>
      <c r="AX946" s="5"/>
      <c r="AY946" s="5"/>
      <c r="AZ946" s="5"/>
      <c r="BA946" s="5"/>
      <c r="BB946" s="5"/>
      <c r="BC946" s="5"/>
      <c r="BD946" s="5"/>
      <c r="BE946" s="5"/>
      <c r="BF946" s="5"/>
      <c r="BG946" s="5"/>
      <c r="BH946" s="5"/>
      <c r="BI946" s="5"/>
      <c r="BJ946" s="5"/>
      <c r="BK946" s="5"/>
      <c r="BL946" s="5"/>
      <c r="BM946" s="5"/>
      <c r="BN946" s="5"/>
      <c r="BO946" s="5"/>
      <c r="BP946" s="5"/>
      <c r="BQ946" s="5"/>
      <c r="BR946" s="5"/>
      <c r="BS946" s="5"/>
      <c r="BT946" s="5"/>
      <c r="BU946" s="5"/>
      <c r="BV946" s="5"/>
      <c r="BW946" s="5"/>
      <c r="BX946" s="5"/>
      <c r="BY946" s="5"/>
      <c r="BZ946" s="5"/>
      <c r="CA946" s="5"/>
      <c r="CB946" s="5"/>
      <c r="CC946" s="5"/>
      <c r="CD946" s="5"/>
      <c r="CE946" s="5"/>
      <c r="CF946" s="5"/>
      <c r="CG946" s="5"/>
      <c r="CH946" s="5"/>
      <c r="CI946" s="5"/>
    </row>
    <row r="947" ht="14.25" customHeight="1">
      <c r="B947" s="1"/>
      <c r="D947" s="1"/>
      <c r="E947" s="33"/>
      <c r="F947" s="34"/>
      <c r="G947" s="5"/>
      <c r="H947" s="5"/>
      <c r="I947" s="5"/>
      <c r="J947" s="5"/>
      <c r="K947" s="5"/>
      <c r="L947" s="5"/>
      <c r="M947" s="32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  <c r="AG947" s="5"/>
      <c r="AH947" s="5"/>
      <c r="AI947" s="5"/>
      <c r="AJ947" s="5"/>
      <c r="AK947" s="5"/>
      <c r="AL947" s="5"/>
      <c r="AM947" s="5"/>
      <c r="AN947" s="5"/>
      <c r="AO947" s="5"/>
      <c r="AP947" s="5"/>
      <c r="AQ947" s="5"/>
      <c r="AR947" s="5"/>
      <c r="AS947" s="5"/>
      <c r="AT947" s="5"/>
      <c r="AU947" s="5"/>
      <c r="AV947" s="5"/>
      <c r="AW947" s="5"/>
      <c r="AX947" s="5"/>
      <c r="AY947" s="5"/>
      <c r="AZ947" s="5"/>
      <c r="BA947" s="5"/>
      <c r="BB947" s="5"/>
      <c r="BC947" s="5"/>
      <c r="BD947" s="5"/>
      <c r="BE947" s="5"/>
      <c r="BF947" s="5"/>
      <c r="BG947" s="5"/>
      <c r="BH947" s="5"/>
      <c r="BI947" s="5"/>
      <c r="BJ947" s="5"/>
      <c r="BK947" s="5"/>
      <c r="BL947" s="5"/>
      <c r="BM947" s="5"/>
      <c r="BN947" s="5"/>
      <c r="BO947" s="5"/>
      <c r="BP947" s="5"/>
      <c r="BQ947" s="5"/>
      <c r="BR947" s="5"/>
      <c r="BS947" s="5"/>
      <c r="BT947" s="5"/>
      <c r="BU947" s="5"/>
      <c r="BV947" s="5"/>
      <c r="BW947" s="5"/>
      <c r="BX947" s="5"/>
      <c r="BY947" s="5"/>
      <c r="BZ947" s="5"/>
      <c r="CA947" s="5"/>
      <c r="CB947" s="5"/>
      <c r="CC947" s="5"/>
      <c r="CD947" s="5"/>
      <c r="CE947" s="5"/>
      <c r="CF947" s="5"/>
      <c r="CG947" s="5"/>
      <c r="CH947" s="5"/>
      <c r="CI947" s="5"/>
    </row>
    <row r="948" ht="14.25" customHeight="1">
      <c r="B948" s="1"/>
      <c r="D948" s="1"/>
      <c r="E948" s="33"/>
      <c r="F948" s="34"/>
      <c r="G948" s="5"/>
      <c r="H948" s="5"/>
      <c r="I948" s="5"/>
      <c r="J948" s="5"/>
      <c r="K948" s="5"/>
      <c r="L948" s="5"/>
      <c r="M948" s="32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  <c r="AE948" s="5"/>
      <c r="AF948" s="5"/>
      <c r="AG948" s="5"/>
      <c r="AH948" s="5"/>
      <c r="AI948" s="5"/>
      <c r="AJ948" s="5"/>
      <c r="AK948" s="5"/>
      <c r="AL948" s="5"/>
      <c r="AM948" s="5"/>
      <c r="AN948" s="5"/>
      <c r="AO948" s="5"/>
      <c r="AP948" s="5"/>
      <c r="AQ948" s="5"/>
      <c r="AR948" s="5"/>
      <c r="AS948" s="5"/>
      <c r="AT948" s="5"/>
      <c r="AU948" s="5"/>
      <c r="AV948" s="5"/>
      <c r="AW948" s="5"/>
      <c r="AX948" s="5"/>
      <c r="AY948" s="5"/>
      <c r="AZ948" s="5"/>
      <c r="BA948" s="5"/>
      <c r="BB948" s="5"/>
      <c r="BC948" s="5"/>
      <c r="BD948" s="5"/>
      <c r="BE948" s="5"/>
      <c r="BF948" s="5"/>
      <c r="BG948" s="5"/>
      <c r="BH948" s="5"/>
      <c r="BI948" s="5"/>
      <c r="BJ948" s="5"/>
      <c r="BK948" s="5"/>
      <c r="BL948" s="5"/>
      <c r="BM948" s="5"/>
      <c r="BN948" s="5"/>
      <c r="BO948" s="5"/>
      <c r="BP948" s="5"/>
      <c r="BQ948" s="5"/>
      <c r="BR948" s="5"/>
      <c r="BS948" s="5"/>
      <c r="BT948" s="5"/>
      <c r="BU948" s="5"/>
      <c r="BV948" s="5"/>
      <c r="BW948" s="5"/>
      <c r="BX948" s="5"/>
      <c r="BY948" s="5"/>
      <c r="BZ948" s="5"/>
      <c r="CA948" s="5"/>
      <c r="CB948" s="5"/>
      <c r="CC948" s="5"/>
      <c r="CD948" s="5"/>
      <c r="CE948" s="5"/>
      <c r="CF948" s="5"/>
      <c r="CG948" s="5"/>
      <c r="CH948" s="5"/>
      <c r="CI948" s="5"/>
    </row>
    <row r="949" ht="14.25" customHeight="1">
      <c r="B949" s="1"/>
      <c r="D949" s="1"/>
      <c r="E949" s="33"/>
      <c r="F949" s="34"/>
      <c r="G949" s="5"/>
      <c r="H949" s="5"/>
      <c r="I949" s="5"/>
      <c r="J949" s="5"/>
      <c r="K949" s="5"/>
      <c r="L949" s="5"/>
      <c r="M949" s="32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  <c r="AG949" s="5"/>
      <c r="AH949" s="5"/>
      <c r="AI949" s="5"/>
      <c r="AJ949" s="5"/>
      <c r="AK949" s="5"/>
      <c r="AL949" s="5"/>
      <c r="AM949" s="5"/>
      <c r="AN949" s="5"/>
      <c r="AO949" s="5"/>
      <c r="AP949" s="5"/>
      <c r="AQ949" s="5"/>
      <c r="AR949" s="5"/>
      <c r="AS949" s="5"/>
      <c r="AT949" s="5"/>
      <c r="AU949" s="5"/>
      <c r="AV949" s="5"/>
      <c r="AW949" s="5"/>
      <c r="AX949" s="5"/>
      <c r="AY949" s="5"/>
      <c r="AZ949" s="5"/>
      <c r="BA949" s="5"/>
      <c r="BB949" s="5"/>
      <c r="BC949" s="5"/>
      <c r="BD949" s="5"/>
      <c r="BE949" s="5"/>
      <c r="BF949" s="5"/>
      <c r="BG949" s="5"/>
      <c r="BH949" s="5"/>
      <c r="BI949" s="5"/>
      <c r="BJ949" s="5"/>
      <c r="BK949" s="5"/>
      <c r="BL949" s="5"/>
      <c r="BM949" s="5"/>
      <c r="BN949" s="5"/>
      <c r="BO949" s="5"/>
      <c r="BP949" s="5"/>
      <c r="BQ949" s="5"/>
      <c r="BR949" s="5"/>
      <c r="BS949" s="5"/>
      <c r="BT949" s="5"/>
      <c r="BU949" s="5"/>
      <c r="BV949" s="5"/>
      <c r="BW949" s="5"/>
      <c r="BX949" s="5"/>
      <c r="BY949" s="5"/>
      <c r="BZ949" s="5"/>
      <c r="CA949" s="5"/>
      <c r="CB949" s="5"/>
      <c r="CC949" s="5"/>
      <c r="CD949" s="5"/>
      <c r="CE949" s="5"/>
      <c r="CF949" s="5"/>
      <c r="CG949" s="5"/>
      <c r="CH949" s="5"/>
      <c r="CI949" s="5"/>
    </row>
    <row r="950" ht="14.25" customHeight="1">
      <c r="B950" s="1"/>
      <c r="D950" s="1"/>
      <c r="E950" s="33"/>
      <c r="F950" s="34"/>
      <c r="G950" s="5"/>
      <c r="H950" s="5"/>
      <c r="I950" s="5"/>
      <c r="J950" s="5"/>
      <c r="K950" s="5"/>
      <c r="L950" s="5"/>
      <c r="M950" s="32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  <c r="AG950" s="5"/>
      <c r="AH950" s="5"/>
      <c r="AI950" s="5"/>
      <c r="AJ950" s="5"/>
      <c r="AK950" s="5"/>
      <c r="AL950" s="5"/>
      <c r="AM950" s="5"/>
      <c r="AN950" s="5"/>
      <c r="AO950" s="5"/>
      <c r="AP950" s="5"/>
      <c r="AQ950" s="5"/>
      <c r="AR950" s="5"/>
      <c r="AS950" s="5"/>
      <c r="AT950" s="5"/>
      <c r="AU950" s="5"/>
      <c r="AV950" s="5"/>
      <c r="AW950" s="5"/>
      <c r="AX950" s="5"/>
      <c r="AY950" s="5"/>
      <c r="AZ950" s="5"/>
      <c r="BA950" s="5"/>
      <c r="BB950" s="5"/>
      <c r="BC950" s="5"/>
      <c r="BD950" s="5"/>
      <c r="BE950" s="5"/>
      <c r="BF950" s="5"/>
      <c r="BG950" s="5"/>
      <c r="BH950" s="5"/>
      <c r="BI950" s="5"/>
      <c r="BJ950" s="5"/>
      <c r="BK950" s="5"/>
      <c r="BL950" s="5"/>
      <c r="BM950" s="5"/>
      <c r="BN950" s="5"/>
      <c r="BO950" s="5"/>
      <c r="BP950" s="5"/>
      <c r="BQ950" s="5"/>
      <c r="BR950" s="5"/>
      <c r="BS950" s="5"/>
      <c r="BT950" s="5"/>
      <c r="BU950" s="5"/>
      <c r="BV950" s="5"/>
      <c r="BW950" s="5"/>
      <c r="BX950" s="5"/>
      <c r="BY950" s="5"/>
      <c r="BZ950" s="5"/>
      <c r="CA950" s="5"/>
      <c r="CB950" s="5"/>
      <c r="CC950" s="5"/>
      <c r="CD950" s="5"/>
      <c r="CE950" s="5"/>
      <c r="CF950" s="5"/>
      <c r="CG950" s="5"/>
      <c r="CH950" s="5"/>
      <c r="CI950" s="5"/>
    </row>
    <row r="951" ht="14.25" customHeight="1">
      <c r="B951" s="1"/>
      <c r="D951" s="1"/>
      <c r="E951" s="33"/>
      <c r="F951" s="34"/>
      <c r="G951" s="5"/>
      <c r="H951" s="5"/>
      <c r="I951" s="5"/>
      <c r="J951" s="5"/>
      <c r="K951" s="5"/>
      <c r="L951" s="5"/>
      <c r="M951" s="32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  <c r="AE951" s="5"/>
      <c r="AF951" s="5"/>
      <c r="AG951" s="5"/>
      <c r="AH951" s="5"/>
      <c r="AI951" s="5"/>
      <c r="AJ951" s="5"/>
      <c r="AK951" s="5"/>
      <c r="AL951" s="5"/>
      <c r="AM951" s="5"/>
      <c r="AN951" s="5"/>
      <c r="AO951" s="5"/>
      <c r="AP951" s="5"/>
      <c r="AQ951" s="5"/>
      <c r="AR951" s="5"/>
      <c r="AS951" s="5"/>
      <c r="AT951" s="5"/>
      <c r="AU951" s="5"/>
      <c r="AV951" s="5"/>
      <c r="AW951" s="5"/>
      <c r="AX951" s="5"/>
      <c r="AY951" s="5"/>
      <c r="AZ951" s="5"/>
      <c r="BA951" s="5"/>
      <c r="BB951" s="5"/>
      <c r="BC951" s="5"/>
      <c r="BD951" s="5"/>
      <c r="BE951" s="5"/>
      <c r="BF951" s="5"/>
      <c r="BG951" s="5"/>
      <c r="BH951" s="5"/>
      <c r="BI951" s="5"/>
      <c r="BJ951" s="5"/>
      <c r="BK951" s="5"/>
      <c r="BL951" s="5"/>
      <c r="BM951" s="5"/>
      <c r="BN951" s="5"/>
      <c r="BO951" s="5"/>
      <c r="BP951" s="5"/>
      <c r="BQ951" s="5"/>
      <c r="BR951" s="5"/>
      <c r="BS951" s="5"/>
      <c r="BT951" s="5"/>
      <c r="BU951" s="5"/>
      <c r="BV951" s="5"/>
      <c r="BW951" s="5"/>
      <c r="BX951" s="5"/>
      <c r="BY951" s="5"/>
      <c r="BZ951" s="5"/>
      <c r="CA951" s="5"/>
      <c r="CB951" s="5"/>
      <c r="CC951" s="5"/>
      <c r="CD951" s="5"/>
      <c r="CE951" s="5"/>
      <c r="CF951" s="5"/>
      <c r="CG951" s="5"/>
      <c r="CH951" s="5"/>
      <c r="CI951" s="5"/>
    </row>
    <row r="952" ht="14.25" customHeight="1">
      <c r="B952" s="1"/>
      <c r="D952" s="1"/>
      <c r="E952" s="33"/>
      <c r="F952" s="34"/>
      <c r="G952" s="5"/>
      <c r="H952" s="5"/>
      <c r="I952" s="5"/>
      <c r="J952" s="5"/>
      <c r="K952" s="5"/>
      <c r="L952" s="5"/>
      <c r="M952" s="32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  <c r="AG952" s="5"/>
      <c r="AH952" s="5"/>
      <c r="AI952" s="5"/>
      <c r="AJ952" s="5"/>
      <c r="AK952" s="5"/>
      <c r="AL952" s="5"/>
      <c r="AM952" s="5"/>
      <c r="AN952" s="5"/>
      <c r="AO952" s="5"/>
      <c r="AP952" s="5"/>
      <c r="AQ952" s="5"/>
      <c r="AR952" s="5"/>
      <c r="AS952" s="5"/>
      <c r="AT952" s="5"/>
      <c r="AU952" s="5"/>
      <c r="AV952" s="5"/>
      <c r="AW952" s="5"/>
      <c r="AX952" s="5"/>
      <c r="AY952" s="5"/>
      <c r="AZ952" s="5"/>
      <c r="BA952" s="5"/>
      <c r="BB952" s="5"/>
      <c r="BC952" s="5"/>
      <c r="BD952" s="5"/>
      <c r="BE952" s="5"/>
      <c r="BF952" s="5"/>
      <c r="BG952" s="5"/>
      <c r="BH952" s="5"/>
      <c r="BI952" s="5"/>
      <c r="BJ952" s="5"/>
      <c r="BK952" s="5"/>
      <c r="BL952" s="5"/>
      <c r="BM952" s="5"/>
      <c r="BN952" s="5"/>
      <c r="BO952" s="5"/>
      <c r="BP952" s="5"/>
      <c r="BQ952" s="5"/>
      <c r="BR952" s="5"/>
      <c r="BS952" s="5"/>
      <c r="BT952" s="5"/>
      <c r="BU952" s="5"/>
      <c r="BV952" s="5"/>
      <c r="BW952" s="5"/>
      <c r="BX952" s="5"/>
      <c r="BY952" s="5"/>
      <c r="BZ952" s="5"/>
      <c r="CA952" s="5"/>
      <c r="CB952" s="5"/>
      <c r="CC952" s="5"/>
      <c r="CD952" s="5"/>
      <c r="CE952" s="5"/>
      <c r="CF952" s="5"/>
      <c r="CG952" s="5"/>
      <c r="CH952" s="5"/>
      <c r="CI952" s="5"/>
    </row>
    <row r="953" ht="14.25" customHeight="1">
      <c r="B953" s="1"/>
      <c r="D953" s="1"/>
      <c r="E953" s="33"/>
      <c r="F953" s="34"/>
      <c r="G953" s="5"/>
      <c r="H953" s="5"/>
      <c r="I953" s="5"/>
      <c r="J953" s="5"/>
      <c r="K953" s="5"/>
      <c r="L953" s="5"/>
      <c r="M953" s="32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  <c r="AE953" s="5"/>
      <c r="AF953" s="5"/>
      <c r="AG953" s="5"/>
      <c r="AH953" s="5"/>
      <c r="AI953" s="5"/>
      <c r="AJ953" s="5"/>
      <c r="AK953" s="5"/>
      <c r="AL953" s="5"/>
      <c r="AM953" s="5"/>
      <c r="AN953" s="5"/>
      <c r="AO953" s="5"/>
      <c r="AP953" s="5"/>
      <c r="AQ953" s="5"/>
      <c r="AR953" s="5"/>
      <c r="AS953" s="5"/>
      <c r="AT953" s="5"/>
      <c r="AU953" s="5"/>
      <c r="AV953" s="5"/>
      <c r="AW953" s="5"/>
      <c r="AX953" s="5"/>
      <c r="AY953" s="5"/>
      <c r="AZ953" s="5"/>
      <c r="BA953" s="5"/>
      <c r="BB953" s="5"/>
      <c r="BC953" s="5"/>
      <c r="BD953" s="5"/>
      <c r="BE953" s="5"/>
      <c r="BF953" s="5"/>
      <c r="BG953" s="5"/>
      <c r="BH953" s="5"/>
      <c r="BI953" s="5"/>
      <c r="BJ953" s="5"/>
      <c r="BK953" s="5"/>
      <c r="BL953" s="5"/>
      <c r="BM953" s="5"/>
      <c r="BN953" s="5"/>
      <c r="BO953" s="5"/>
      <c r="BP953" s="5"/>
      <c r="BQ953" s="5"/>
      <c r="BR953" s="5"/>
      <c r="BS953" s="5"/>
      <c r="BT953" s="5"/>
      <c r="BU953" s="5"/>
      <c r="BV953" s="5"/>
      <c r="BW953" s="5"/>
      <c r="BX953" s="5"/>
      <c r="BY953" s="5"/>
      <c r="BZ953" s="5"/>
      <c r="CA953" s="5"/>
      <c r="CB953" s="5"/>
      <c r="CC953" s="5"/>
      <c r="CD953" s="5"/>
      <c r="CE953" s="5"/>
      <c r="CF953" s="5"/>
      <c r="CG953" s="5"/>
      <c r="CH953" s="5"/>
      <c r="CI953" s="5"/>
    </row>
    <row r="954" ht="14.25" customHeight="1">
      <c r="B954" s="1"/>
      <c r="D954" s="1"/>
      <c r="E954" s="33"/>
      <c r="F954" s="34"/>
      <c r="G954" s="5"/>
      <c r="H954" s="5"/>
      <c r="I954" s="5"/>
      <c r="J954" s="5"/>
      <c r="K954" s="5"/>
      <c r="L954" s="5"/>
      <c r="M954" s="32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  <c r="AE954" s="5"/>
      <c r="AF954" s="5"/>
      <c r="AG954" s="5"/>
      <c r="AH954" s="5"/>
      <c r="AI954" s="5"/>
      <c r="AJ954" s="5"/>
      <c r="AK954" s="5"/>
      <c r="AL954" s="5"/>
      <c r="AM954" s="5"/>
      <c r="AN954" s="5"/>
      <c r="AO954" s="5"/>
      <c r="AP954" s="5"/>
      <c r="AQ954" s="5"/>
      <c r="AR954" s="5"/>
      <c r="AS954" s="5"/>
      <c r="AT954" s="5"/>
      <c r="AU954" s="5"/>
      <c r="AV954" s="5"/>
      <c r="AW954" s="5"/>
      <c r="AX954" s="5"/>
      <c r="AY954" s="5"/>
      <c r="AZ954" s="5"/>
      <c r="BA954" s="5"/>
      <c r="BB954" s="5"/>
      <c r="BC954" s="5"/>
      <c r="BD954" s="5"/>
      <c r="BE954" s="5"/>
      <c r="BF954" s="5"/>
      <c r="BG954" s="5"/>
      <c r="BH954" s="5"/>
      <c r="BI954" s="5"/>
      <c r="BJ954" s="5"/>
      <c r="BK954" s="5"/>
      <c r="BL954" s="5"/>
      <c r="BM954" s="5"/>
      <c r="BN954" s="5"/>
      <c r="BO954" s="5"/>
      <c r="BP954" s="5"/>
      <c r="BQ954" s="5"/>
      <c r="BR954" s="5"/>
      <c r="BS954" s="5"/>
      <c r="BT954" s="5"/>
      <c r="BU954" s="5"/>
      <c r="BV954" s="5"/>
      <c r="BW954" s="5"/>
      <c r="BX954" s="5"/>
      <c r="BY954" s="5"/>
      <c r="BZ954" s="5"/>
      <c r="CA954" s="5"/>
      <c r="CB954" s="5"/>
      <c r="CC954" s="5"/>
      <c r="CD954" s="5"/>
      <c r="CE954" s="5"/>
      <c r="CF954" s="5"/>
      <c r="CG954" s="5"/>
      <c r="CH954" s="5"/>
      <c r="CI954" s="5"/>
    </row>
    <row r="955" ht="14.25" customHeight="1">
      <c r="B955" s="1"/>
      <c r="D955" s="1"/>
      <c r="E955" s="33"/>
      <c r="F955" s="34"/>
      <c r="G955" s="5"/>
      <c r="H955" s="5"/>
      <c r="I955" s="5"/>
      <c r="J955" s="5"/>
      <c r="K955" s="5"/>
      <c r="L955" s="5"/>
      <c r="M955" s="32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  <c r="AE955" s="5"/>
      <c r="AF955" s="5"/>
      <c r="AG955" s="5"/>
      <c r="AH955" s="5"/>
      <c r="AI955" s="5"/>
      <c r="AJ955" s="5"/>
      <c r="AK955" s="5"/>
      <c r="AL955" s="5"/>
      <c r="AM955" s="5"/>
      <c r="AN955" s="5"/>
      <c r="AO955" s="5"/>
      <c r="AP955" s="5"/>
      <c r="AQ955" s="5"/>
      <c r="AR955" s="5"/>
      <c r="AS955" s="5"/>
      <c r="AT955" s="5"/>
      <c r="AU955" s="5"/>
      <c r="AV955" s="5"/>
      <c r="AW955" s="5"/>
      <c r="AX955" s="5"/>
      <c r="AY955" s="5"/>
      <c r="AZ955" s="5"/>
      <c r="BA955" s="5"/>
      <c r="BB955" s="5"/>
      <c r="BC955" s="5"/>
      <c r="BD955" s="5"/>
      <c r="BE955" s="5"/>
      <c r="BF955" s="5"/>
      <c r="BG955" s="5"/>
      <c r="BH955" s="5"/>
      <c r="BI955" s="5"/>
      <c r="BJ955" s="5"/>
      <c r="BK955" s="5"/>
      <c r="BL955" s="5"/>
      <c r="BM955" s="5"/>
      <c r="BN955" s="5"/>
      <c r="BO955" s="5"/>
      <c r="BP955" s="5"/>
      <c r="BQ955" s="5"/>
      <c r="BR955" s="5"/>
      <c r="BS955" s="5"/>
      <c r="BT955" s="5"/>
      <c r="BU955" s="5"/>
      <c r="BV955" s="5"/>
      <c r="BW955" s="5"/>
      <c r="BX955" s="5"/>
      <c r="BY955" s="5"/>
      <c r="BZ955" s="5"/>
      <c r="CA955" s="5"/>
      <c r="CB955" s="5"/>
      <c r="CC955" s="5"/>
      <c r="CD955" s="5"/>
      <c r="CE955" s="5"/>
      <c r="CF955" s="5"/>
      <c r="CG955" s="5"/>
      <c r="CH955" s="5"/>
      <c r="CI955" s="5"/>
    </row>
    <row r="956" ht="14.25" customHeight="1">
      <c r="B956" s="1"/>
      <c r="D956" s="1"/>
      <c r="E956" s="33"/>
      <c r="F956" s="34"/>
      <c r="G956" s="5"/>
      <c r="H956" s="5"/>
      <c r="I956" s="5"/>
      <c r="J956" s="5"/>
      <c r="K956" s="5"/>
      <c r="L956" s="5"/>
      <c r="M956" s="32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  <c r="AE956" s="5"/>
      <c r="AF956" s="5"/>
      <c r="AG956" s="5"/>
      <c r="AH956" s="5"/>
      <c r="AI956" s="5"/>
      <c r="AJ956" s="5"/>
      <c r="AK956" s="5"/>
      <c r="AL956" s="5"/>
      <c r="AM956" s="5"/>
      <c r="AN956" s="5"/>
      <c r="AO956" s="5"/>
      <c r="AP956" s="5"/>
      <c r="AQ956" s="5"/>
      <c r="AR956" s="5"/>
      <c r="AS956" s="5"/>
      <c r="AT956" s="5"/>
      <c r="AU956" s="5"/>
      <c r="AV956" s="5"/>
      <c r="AW956" s="5"/>
      <c r="AX956" s="5"/>
      <c r="AY956" s="5"/>
      <c r="AZ956" s="5"/>
      <c r="BA956" s="5"/>
      <c r="BB956" s="5"/>
      <c r="BC956" s="5"/>
      <c r="BD956" s="5"/>
      <c r="BE956" s="5"/>
      <c r="BF956" s="5"/>
      <c r="BG956" s="5"/>
      <c r="BH956" s="5"/>
      <c r="BI956" s="5"/>
      <c r="BJ956" s="5"/>
      <c r="BK956" s="5"/>
      <c r="BL956" s="5"/>
      <c r="BM956" s="5"/>
      <c r="BN956" s="5"/>
      <c r="BO956" s="5"/>
      <c r="BP956" s="5"/>
      <c r="BQ956" s="5"/>
      <c r="BR956" s="5"/>
      <c r="BS956" s="5"/>
      <c r="BT956" s="5"/>
      <c r="BU956" s="5"/>
      <c r="BV956" s="5"/>
      <c r="BW956" s="5"/>
      <c r="BX956" s="5"/>
      <c r="BY956" s="5"/>
      <c r="BZ956" s="5"/>
      <c r="CA956" s="5"/>
      <c r="CB956" s="5"/>
      <c r="CC956" s="5"/>
      <c r="CD956" s="5"/>
      <c r="CE956" s="5"/>
      <c r="CF956" s="5"/>
      <c r="CG956" s="5"/>
      <c r="CH956" s="5"/>
      <c r="CI956" s="5"/>
    </row>
    <row r="957" ht="14.25" customHeight="1">
      <c r="B957" s="1"/>
      <c r="D957" s="1"/>
      <c r="E957" s="33"/>
      <c r="F957" s="34"/>
      <c r="G957" s="5"/>
      <c r="H957" s="5"/>
      <c r="I957" s="5"/>
      <c r="J957" s="5"/>
      <c r="K957" s="5"/>
      <c r="L957" s="5"/>
      <c r="M957" s="32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  <c r="AE957" s="5"/>
      <c r="AF957" s="5"/>
      <c r="AG957" s="5"/>
      <c r="AH957" s="5"/>
      <c r="AI957" s="5"/>
      <c r="AJ957" s="5"/>
      <c r="AK957" s="5"/>
      <c r="AL957" s="5"/>
      <c r="AM957" s="5"/>
      <c r="AN957" s="5"/>
      <c r="AO957" s="5"/>
      <c r="AP957" s="5"/>
      <c r="AQ957" s="5"/>
      <c r="AR957" s="5"/>
      <c r="AS957" s="5"/>
      <c r="AT957" s="5"/>
      <c r="AU957" s="5"/>
      <c r="AV957" s="5"/>
      <c r="AW957" s="5"/>
      <c r="AX957" s="5"/>
      <c r="AY957" s="5"/>
      <c r="AZ957" s="5"/>
      <c r="BA957" s="5"/>
      <c r="BB957" s="5"/>
      <c r="BC957" s="5"/>
      <c r="BD957" s="5"/>
      <c r="BE957" s="5"/>
      <c r="BF957" s="5"/>
      <c r="BG957" s="5"/>
      <c r="BH957" s="5"/>
      <c r="BI957" s="5"/>
      <c r="BJ957" s="5"/>
      <c r="BK957" s="5"/>
      <c r="BL957" s="5"/>
      <c r="BM957" s="5"/>
      <c r="BN957" s="5"/>
      <c r="BO957" s="5"/>
      <c r="BP957" s="5"/>
      <c r="BQ957" s="5"/>
      <c r="BR957" s="5"/>
      <c r="BS957" s="5"/>
      <c r="BT957" s="5"/>
      <c r="BU957" s="5"/>
      <c r="BV957" s="5"/>
      <c r="BW957" s="5"/>
      <c r="BX957" s="5"/>
      <c r="BY957" s="5"/>
      <c r="BZ957" s="5"/>
      <c r="CA957" s="5"/>
      <c r="CB957" s="5"/>
      <c r="CC957" s="5"/>
      <c r="CD957" s="5"/>
      <c r="CE957" s="5"/>
      <c r="CF957" s="5"/>
      <c r="CG957" s="5"/>
      <c r="CH957" s="5"/>
      <c r="CI957" s="5"/>
    </row>
    <row r="958" ht="14.25" customHeight="1">
      <c r="B958" s="1"/>
      <c r="D958" s="1"/>
      <c r="E958" s="33"/>
      <c r="F958" s="34"/>
      <c r="G958" s="5"/>
      <c r="H958" s="5"/>
      <c r="I958" s="5"/>
      <c r="J958" s="5"/>
      <c r="K958" s="5"/>
      <c r="L958" s="5"/>
      <c r="M958" s="32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  <c r="AE958" s="5"/>
      <c r="AF958" s="5"/>
      <c r="AG958" s="5"/>
      <c r="AH958" s="5"/>
      <c r="AI958" s="5"/>
      <c r="AJ958" s="5"/>
      <c r="AK958" s="5"/>
      <c r="AL958" s="5"/>
      <c r="AM958" s="5"/>
      <c r="AN958" s="5"/>
      <c r="AO958" s="5"/>
      <c r="AP958" s="5"/>
      <c r="AQ958" s="5"/>
      <c r="AR958" s="5"/>
      <c r="AS958" s="5"/>
      <c r="AT958" s="5"/>
      <c r="AU958" s="5"/>
      <c r="AV958" s="5"/>
      <c r="AW958" s="5"/>
      <c r="AX958" s="5"/>
      <c r="AY958" s="5"/>
      <c r="AZ958" s="5"/>
      <c r="BA958" s="5"/>
      <c r="BB958" s="5"/>
      <c r="BC958" s="5"/>
      <c r="BD958" s="5"/>
      <c r="BE958" s="5"/>
      <c r="BF958" s="5"/>
      <c r="BG958" s="5"/>
      <c r="BH958" s="5"/>
      <c r="BI958" s="5"/>
      <c r="BJ958" s="5"/>
      <c r="BK958" s="5"/>
      <c r="BL958" s="5"/>
      <c r="BM958" s="5"/>
      <c r="BN958" s="5"/>
      <c r="BO958" s="5"/>
      <c r="BP958" s="5"/>
      <c r="BQ958" s="5"/>
      <c r="BR958" s="5"/>
      <c r="BS958" s="5"/>
      <c r="BT958" s="5"/>
      <c r="BU958" s="5"/>
      <c r="BV958" s="5"/>
      <c r="BW958" s="5"/>
      <c r="BX958" s="5"/>
      <c r="BY958" s="5"/>
      <c r="BZ958" s="5"/>
      <c r="CA958" s="5"/>
      <c r="CB958" s="5"/>
      <c r="CC958" s="5"/>
      <c r="CD958" s="5"/>
      <c r="CE958" s="5"/>
      <c r="CF958" s="5"/>
      <c r="CG958" s="5"/>
      <c r="CH958" s="5"/>
      <c r="CI958" s="5"/>
    </row>
    <row r="959" ht="14.25" customHeight="1">
      <c r="B959" s="1"/>
      <c r="D959" s="1"/>
      <c r="E959" s="33"/>
      <c r="F959" s="34"/>
      <c r="G959" s="5"/>
      <c r="H959" s="5"/>
      <c r="I959" s="5"/>
      <c r="J959" s="5"/>
      <c r="K959" s="5"/>
      <c r="L959" s="5"/>
      <c r="M959" s="32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  <c r="AE959" s="5"/>
      <c r="AF959" s="5"/>
      <c r="AG959" s="5"/>
      <c r="AH959" s="5"/>
      <c r="AI959" s="5"/>
      <c r="AJ959" s="5"/>
      <c r="AK959" s="5"/>
      <c r="AL959" s="5"/>
      <c r="AM959" s="5"/>
      <c r="AN959" s="5"/>
      <c r="AO959" s="5"/>
      <c r="AP959" s="5"/>
      <c r="AQ959" s="5"/>
      <c r="AR959" s="5"/>
      <c r="AS959" s="5"/>
      <c r="AT959" s="5"/>
      <c r="AU959" s="5"/>
      <c r="AV959" s="5"/>
      <c r="AW959" s="5"/>
      <c r="AX959" s="5"/>
      <c r="AY959" s="5"/>
      <c r="AZ959" s="5"/>
      <c r="BA959" s="5"/>
      <c r="BB959" s="5"/>
      <c r="BC959" s="5"/>
      <c r="BD959" s="5"/>
      <c r="BE959" s="5"/>
      <c r="BF959" s="5"/>
      <c r="BG959" s="5"/>
      <c r="BH959" s="5"/>
      <c r="BI959" s="5"/>
      <c r="BJ959" s="5"/>
      <c r="BK959" s="5"/>
      <c r="BL959" s="5"/>
      <c r="BM959" s="5"/>
      <c r="BN959" s="5"/>
      <c r="BO959" s="5"/>
      <c r="BP959" s="5"/>
      <c r="BQ959" s="5"/>
      <c r="BR959" s="5"/>
      <c r="BS959" s="5"/>
      <c r="BT959" s="5"/>
      <c r="BU959" s="5"/>
      <c r="BV959" s="5"/>
      <c r="BW959" s="5"/>
      <c r="BX959" s="5"/>
      <c r="BY959" s="5"/>
      <c r="BZ959" s="5"/>
      <c r="CA959" s="5"/>
      <c r="CB959" s="5"/>
      <c r="CC959" s="5"/>
      <c r="CD959" s="5"/>
      <c r="CE959" s="5"/>
      <c r="CF959" s="5"/>
      <c r="CG959" s="5"/>
      <c r="CH959" s="5"/>
      <c r="CI959" s="5"/>
    </row>
    <row r="960" ht="14.25" customHeight="1">
      <c r="B960" s="1"/>
      <c r="D960" s="1"/>
      <c r="E960" s="33"/>
      <c r="F960" s="34"/>
      <c r="G960" s="5"/>
      <c r="H960" s="5"/>
      <c r="I960" s="5"/>
      <c r="J960" s="5"/>
      <c r="K960" s="5"/>
      <c r="L960" s="5"/>
      <c r="M960" s="32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  <c r="AE960" s="5"/>
      <c r="AF960" s="5"/>
      <c r="AG960" s="5"/>
      <c r="AH960" s="5"/>
      <c r="AI960" s="5"/>
      <c r="AJ960" s="5"/>
      <c r="AK960" s="5"/>
      <c r="AL960" s="5"/>
      <c r="AM960" s="5"/>
      <c r="AN960" s="5"/>
      <c r="AO960" s="5"/>
      <c r="AP960" s="5"/>
      <c r="AQ960" s="5"/>
      <c r="AR960" s="5"/>
      <c r="AS960" s="5"/>
      <c r="AT960" s="5"/>
      <c r="AU960" s="5"/>
      <c r="AV960" s="5"/>
      <c r="AW960" s="5"/>
      <c r="AX960" s="5"/>
      <c r="AY960" s="5"/>
      <c r="AZ960" s="5"/>
      <c r="BA960" s="5"/>
      <c r="BB960" s="5"/>
      <c r="BC960" s="5"/>
      <c r="BD960" s="5"/>
      <c r="BE960" s="5"/>
      <c r="BF960" s="5"/>
      <c r="BG960" s="5"/>
      <c r="BH960" s="5"/>
      <c r="BI960" s="5"/>
      <c r="BJ960" s="5"/>
      <c r="BK960" s="5"/>
      <c r="BL960" s="5"/>
      <c r="BM960" s="5"/>
      <c r="BN960" s="5"/>
      <c r="BO960" s="5"/>
      <c r="BP960" s="5"/>
      <c r="BQ960" s="5"/>
      <c r="BR960" s="5"/>
      <c r="BS960" s="5"/>
      <c r="BT960" s="5"/>
      <c r="BU960" s="5"/>
      <c r="BV960" s="5"/>
      <c r="BW960" s="5"/>
      <c r="BX960" s="5"/>
      <c r="BY960" s="5"/>
      <c r="BZ960" s="5"/>
      <c r="CA960" s="5"/>
      <c r="CB960" s="5"/>
      <c r="CC960" s="5"/>
      <c r="CD960" s="5"/>
      <c r="CE960" s="5"/>
      <c r="CF960" s="5"/>
      <c r="CG960" s="5"/>
      <c r="CH960" s="5"/>
      <c r="CI960" s="5"/>
    </row>
    <row r="961" ht="14.25" customHeight="1">
      <c r="B961" s="1"/>
      <c r="D961" s="1"/>
      <c r="E961" s="33"/>
      <c r="F961" s="34"/>
      <c r="G961" s="5"/>
      <c r="H961" s="5"/>
      <c r="I961" s="5"/>
      <c r="J961" s="5"/>
      <c r="K961" s="5"/>
      <c r="L961" s="5"/>
      <c r="M961" s="32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  <c r="AE961" s="5"/>
      <c r="AF961" s="5"/>
      <c r="AG961" s="5"/>
      <c r="AH961" s="5"/>
      <c r="AI961" s="5"/>
      <c r="AJ961" s="5"/>
      <c r="AK961" s="5"/>
      <c r="AL961" s="5"/>
      <c r="AM961" s="5"/>
      <c r="AN961" s="5"/>
      <c r="AO961" s="5"/>
      <c r="AP961" s="5"/>
      <c r="AQ961" s="5"/>
      <c r="AR961" s="5"/>
      <c r="AS961" s="5"/>
      <c r="AT961" s="5"/>
      <c r="AU961" s="5"/>
      <c r="AV961" s="5"/>
      <c r="AW961" s="5"/>
      <c r="AX961" s="5"/>
      <c r="AY961" s="5"/>
      <c r="AZ961" s="5"/>
      <c r="BA961" s="5"/>
      <c r="BB961" s="5"/>
      <c r="BC961" s="5"/>
      <c r="BD961" s="5"/>
      <c r="BE961" s="5"/>
      <c r="BF961" s="5"/>
      <c r="BG961" s="5"/>
      <c r="BH961" s="5"/>
      <c r="BI961" s="5"/>
      <c r="BJ961" s="5"/>
      <c r="BK961" s="5"/>
      <c r="BL961" s="5"/>
      <c r="BM961" s="5"/>
      <c r="BN961" s="5"/>
      <c r="BO961" s="5"/>
      <c r="BP961" s="5"/>
      <c r="BQ961" s="5"/>
      <c r="BR961" s="5"/>
      <c r="BS961" s="5"/>
      <c r="BT961" s="5"/>
      <c r="BU961" s="5"/>
      <c r="BV961" s="5"/>
      <c r="BW961" s="5"/>
      <c r="BX961" s="5"/>
      <c r="BY961" s="5"/>
      <c r="BZ961" s="5"/>
      <c r="CA961" s="5"/>
      <c r="CB961" s="5"/>
      <c r="CC961" s="5"/>
      <c r="CD961" s="5"/>
      <c r="CE961" s="5"/>
      <c r="CF961" s="5"/>
      <c r="CG961" s="5"/>
      <c r="CH961" s="5"/>
      <c r="CI961" s="5"/>
    </row>
    <row r="962" ht="14.25" customHeight="1">
      <c r="B962" s="1"/>
      <c r="D962" s="1"/>
      <c r="E962" s="33"/>
      <c r="F962" s="34"/>
      <c r="G962" s="5"/>
      <c r="H962" s="5"/>
      <c r="I962" s="5"/>
      <c r="J962" s="5"/>
      <c r="K962" s="5"/>
      <c r="L962" s="5"/>
      <c r="M962" s="32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  <c r="AE962" s="5"/>
      <c r="AF962" s="5"/>
      <c r="AG962" s="5"/>
      <c r="AH962" s="5"/>
      <c r="AI962" s="5"/>
      <c r="AJ962" s="5"/>
      <c r="AK962" s="5"/>
      <c r="AL962" s="5"/>
      <c r="AM962" s="5"/>
      <c r="AN962" s="5"/>
      <c r="AO962" s="5"/>
      <c r="AP962" s="5"/>
      <c r="AQ962" s="5"/>
      <c r="AR962" s="5"/>
      <c r="AS962" s="5"/>
      <c r="AT962" s="5"/>
      <c r="AU962" s="5"/>
      <c r="AV962" s="5"/>
      <c r="AW962" s="5"/>
      <c r="AX962" s="5"/>
      <c r="AY962" s="5"/>
      <c r="AZ962" s="5"/>
      <c r="BA962" s="5"/>
      <c r="BB962" s="5"/>
      <c r="BC962" s="5"/>
      <c r="BD962" s="5"/>
      <c r="BE962" s="5"/>
      <c r="BF962" s="5"/>
      <c r="BG962" s="5"/>
      <c r="BH962" s="5"/>
      <c r="BI962" s="5"/>
      <c r="BJ962" s="5"/>
      <c r="BK962" s="5"/>
      <c r="BL962" s="5"/>
      <c r="BM962" s="5"/>
      <c r="BN962" s="5"/>
      <c r="BO962" s="5"/>
      <c r="BP962" s="5"/>
      <c r="BQ962" s="5"/>
      <c r="BR962" s="5"/>
      <c r="BS962" s="5"/>
      <c r="BT962" s="5"/>
      <c r="BU962" s="5"/>
      <c r="BV962" s="5"/>
      <c r="BW962" s="5"/>
      <c r="BX962" s="5"/>
      <c r="BY962" s="5"/>
      <c r="BZ962" s="5"/>
      <c r="CA962" s="5"/>
      <c r="CB962" s="5"/>
      <c r="CC962" s="5"/>
      <c r="CD962" s="5"/>
      <c r="CE962" s="5"/>
      <c r="CF962" s="5"/>
      <c r="CG962" s="5"/>
      <c r="CH962" s="5"/>
      <c r="CI962" s="5"/>
    </row>
    <row r="963" ht="14.25" customHeight="1">
      <c r="B963" s="1"/>
      <c r="D963" s="1"/>
      <c r="E963" s="33"/>
      <c r="F963" s="34"/>
      <c r="G963" s="5"/>
      <c r="H963" s="5"/>
      <c r="I963" s="5"/>
      <c r="J963" s="5"/>
      <c r="K963" s="5"/>
      <c r="L963" s="5"/>
      <c r="M963" s="32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  <c r="AE963" s="5"/>
      <c r="AF963" s="5"/>
      <c r="AG963" s="5"/>
      <c r="AH963" s="5"/>
      <c r="AI963" s="5"/>
      <c r="AJ963" s="5"/>
      <c r="AK963" s="5"/>
      <c r="AL963" s="5"/>
      <c r="AM963" s="5"/>
      <c r="AN963" s="5"/>
      <c r="AO963" s="5"/>
      <c r="AP963" s="5"/>
      <c r="AQ963" s="5"/>
      <c r="AR963" s="5"/>
      <c r="AS963" s="5"/>
      <c r="AT963" s="5"/>
      <c r="AU963" s="5"/>
      <c r="AV963" s="5"/>
      <c r="AW963" s="5"/>
      <c r="AX963" s="5"/>
      <c r="AY963" s="5"/>
      <c r="AZ963" s="5"/>
      <c r="BA963" s="5"/>
      <c r="BB963" s="5"/>
      <c r="BC963" s="5"/>
      <c r="BD963" s="5"/>
      <c r="BE963" s="5"/>
      <c r="BF963" s="5"/>
      <c r="BG963" s="5"/>
      <c r="BH963" s="5"/>
      <c r="BI963" s="5"/>
      <c r="BJ963" s="5"/>
      <c r="BK963" s="5"/>
      <c r="BL963" s="5"/>
      <c r="BM963" s="5"/>
      <c r="BN963" s="5"/>
      <c r="BO963" s="5"/>
      <c r="BP963" s="5"/>
      <c r="BQ963" s="5"/>
      <c r="BR963" s="5"/>
      <c r="BS963" s="5"/>
      <c r="BT963" s="5"/>
      <c r="BU963" s="5"/>
      <c r="BV963" s="5"/>
      <c r="BW963" s="5"/>
      <c r="BX963" s="5"/>
      <c r="BY963" s="5"/>
      <c r="BZ963" s="5"/>
      <c r="CA963" s="5"/>
      <c r="CB963" s="5"/>
      <c r="CC963" s="5"/>
      <c r="CD963" s="5"/>
      <c r="CE963" s="5"/>
      <c r="CF963" s="5"/>
      <c r="CG963" s="5"/>
      <c r="CH963" s="5"/>
      <c r="CI963" s="5"/>
    </row>
    <row r="964" ht="14.25" customHeight="1">
      <c r="B964" s="1"/>
      <c r="D964" s="1"/>
      <c r="E964" s="33"/>
      <c r="F964" s="34"/>
      <c r="G964" s="5"/>
      <c r="H964" s="5"/>
      <c r="I964" s="5"/>
      <c r="J964" s="5"/>
      <c r="K964" s="5"/>
      <c r="L964" s="5"/>
      <c r="M964" s="32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  <c r="AE964" s="5"/>
      <c r="AF964" s="5"/>
      <c r="AG964" s="5"/>
      <c r="AH964" s="5"/>
      <c r="AI964" s="5"/>
      <c r="AJ964" s="5"/>
      <c r="AK964" s="5"/>
      <c r="AL964" s="5"/>
      <c r="AM964" s="5"/>
      <c r="AN964" s="5"/>
      <c r="AO964" s="5"/>
      <c r="AP964" s="5"/>
      <c r="AQ964" s="5"/>
      <c r="AR964" s="5"/>
      <c r="AS964" s="5"/>
      <c r="AT964" s="5"/>
      <c r="AU964" s="5"/>
      <c r="AV964" s="5"/>
      <c r="AW964" s="5"/>
      <c r="AX964" s="5"/>
      <c r="AY964" s="5"/>
      <c r="AZ964" s="5"/>
      <c r="BA964" s="5"/>
      <c r="BB964" s="5"/>
      <c r="BC964" s="5"/>
      <c r="BD964" s="5"/>
      <c r="BE964" s="5"/>
      <c r="BF964" s="5"/>
      <c r="BG964" s="5"/>
      <c r="BH964" s="5"/>
      <c r="BI964" s="5"/>
      <c r="BJ964" s="5"/>
      <c r="BK964" s="5"/>
      <c r="BL964" s="5"/>
      <c r="BM964" s="5"/>
      <c r="BN964" s="5"/>
      <c r="BO964" s="5"/>
      <c r="BP964" s="5"/>
      <c r="BQ964" s="5"/>
      <c r="BR964" s="5"/>
      <c r="BS964" s="5"/>
      <c r="BT964" s="5"/>
      <c r="BU964" s="5"/>
      <c r="BV964" s="5"/>
      <c r="BW964" s="5"/>
      <c r="BX964" s="5"/>
      <c r="BY964" s="5"/>
      <c r="BZ964" s="5"/>
      <c r="CA964" s="5"/>
      <c r="CB964" s="5"/>
      <c r="CC964" s="5"/>
      <c r="CD964" s="5"/>
      <c r="CE964" s="5"/>
      <c r="CF964" s="5"/>
      <c r="CG964" s="5"/>
      <c r="CH964" s="5"/>
      <c r="CI964" s="5"/>
    </row>
    <row r="965" ht="14.25" customHeight="1">
      <c r="B965" s="1"/>
      <c r="D965" s="1"/>
      <c r="E965" s="33"/>
      <c r="F965" s="34"/>
      <c r="G965" s="5"/>
      <c r="H965" s="5"/>
      <c r="I965" s="5"/>
      <c r="J965" s="5"/>
      <c r="K965" s="5"/>
      <c r="L965" s="5"/>
      <c r="M965" s="32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  <c r="AE965" s="5"/>
      <c r="AF965" s="5"/>
      <c r="AG965" s="5"/>
      <c r="AH965" s="5"/>
      <c r="AI965" s="5"/>
      <c r="AJ965" s="5"/>
      <c r="AK965" s="5"/>
      <c r="AL965" s="5"/>
      <c r="AM965" s="5"/>
      <c r="AN965" s="5"/>
      <c r="AO965" s="5"/>
      <c r="AP965" s="5"/>
      <c r="AQ965" s="5"/>
      <c r="AR965" s="5"/>
      <c r="AS965" s="5"/>
      <c r="AT965" s="5"/>
      <c r="AU965" s="5"/>
      <c r="AV965" s="5"/>
      <c r="AW965" s="5"/>
      <c r="AX965" s="5"/>
      <c r="AY965" s="5"/>
      <c r="AZ965" s="5"/>
      <c r="BA965" s="5"/>
      <c r="BB965" s="5"/>
      <c r="BC965" s="5"/>
      <c r="BD965" s="5"/>
      <c r="BE965" s="5"/>
      <c r="BF965" s="5"/>
      <c r="BG965" s="5"/>
      <c r="BH965" s="5"/>
      <c r="BI965" s="5"/>
      <c r="BJ965" s="5"/>
      <c r="BK965" s="5"/>
      <c r="BL965" s="5"/>
      <c r="BM965" s="5"/>
      <c r="BN965" s="5"/>
      <c r="BO965" s="5"/>
      <c r="BP965" s="5"/>
      <c r="BQ965" s="5"/>
      <c r="BR965" s="5"/>
      <c r="BS965" s="5"/>
      <c r="BT965" s="5"/>
      <c r="BU965" s="5"/>
      <c r="BV965" s="5"/>
      <c r="BW965" s="5"/>
      <c r="BX965" s="5"/>
      <c r="BY965" s="5"/>
      <c r="BZ965" s="5"/>
      <c r="CA965" s="5"/>
      <c r="CB965" s="5"/>
      <c r="CC965" s="5"/>
      <c r="CD965" s="5"/>
      <c r="CE965" s="5"/>
      <c r="CF965" s="5"/>
      <c r="CG965" s="5"/>
      <c r="CH965" s="5"/>
      <c r="CI965" s="5"/>
    </row>
    <row r="966" ht="14.25" customHeight="1">
      <c r="B966" s="1"/>
      <c r="D966" s="1"/>
      <c r="E966" s="33"/>
      <c r="F966" s="34"/>
      <c r="G966" s="5"/>
      <c r="H966" s="5"/>
      <c r="I966" s="5"/>
      <c r="J966" s="5"/>
      <c r="K966" s="5"/>
      <c r="L966" s="5"/>
      <c r="M966" s="32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  <c r="AE966" s="5"/>
      <c r="AF966" s="5"/>
      <c r="AG966" s="5"/>
      <c r="AH966" s="5"/>
      <c r="AI966" s="5"/>
      <c r="AJ966" s="5"/>
      <c r="AK966" s="5"/>
      <c r="AL966" s="5"/>
      <c r="AM966" s="5"/>
      <c r="AN966" s="5"/>
      <c r="AO966" s="5"/>
      <c r="AP966" s="5"/>
      <c r="AQ966" s="5"/>
      <c r="AR966" s="5"/>
      <c r="AS966" s="5"/>
      <c r="AT966" s="5"/>
      <c r="AU966" s="5"/>
      <c r="AV966" s="5"/>
      <c r="AW966" s="5"/>
      <c r="AX966" s="5"/>
      <c r="AY966" s="5"/>
      <c r="AZ966" s="5"/>
      <c r="BA966" s="5"/>
      <c r="BB966" s="5"/>
      <c r="BC966" s="5"/>
      <c r="BD966" s="5"/>
      <c r="BE966" s="5"/>
      <c r="BF966" s="5"/>
      <c r="BG966" s="5"/>
      <c r="BH966" s="5"/>
      <c r="BI966" s="5"/>
      <c r="BJ966" s="5"/>
      <c r="BK966" s="5"/>
      <c r="BL966" s="5"/>
      <c r="BM966" s="5"/>
      <c r="BN966" s="5"/>
      <c r="BO966" s="5"/>
      <c r="BP966" s="5"/>
      <c r="BQ966" s="5"/>
      <c r="BR966" s="5"/>
      <c r="BS966" s="5"/>
      <c r="BT966" s="5"/>
      <c r="BU966" s="5"/>
      <c r="BV966" s="5"/>
      <c r="BW966" s="5"/>
      <c r="BX966" s="5"/>
      <c r="BY966" s="5"/>
      <c r="BZ966" s="5"/>
      <c r="CA966" s="5"/>
      <c r="CB966" s="5"/>
      <c r="CC966" s="5"/>
      <c r="CD966" s="5"/>
      <c r="CE966" s="5"/>
      <c r="CF966" s="5"/>
      <c r="CG966" s="5"/>
      <c r="CH966" s="5"/>
      <c r="CI966" s="5"/>
    </row>
    <row r="967" ht="14.25" customHeight="1">
      <c r="B967" s="1"/>
      <c r="D967" s="1"/>
      <c r="E967" s="33"/>
      <c r="F967" s="34"/>
      <c r="G967" s="5"/>
      <c r="H967" s="5"/>
      <c r="I967" s="5"/>
      <c r="J967" s="5"/>
      <c r="K967" s="5"/>
      <c r="L967" s="5"/>
      <c r="M967" s="32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  <c r="AE967" s="5"/>
      <c r="AF967" s="5"/>
      <c r="AG967" s="5"/>
      <c r="AH967" s="5"/>
      <c r="AI967" s="5"/>
      <c r="AJ967" s="5"/>
      <c r="AK967" s="5"/>
      <c r="AL967" s="5"/>
      <c r="AM967" s="5"/>
      <c r="AN967" s="5"/>
      <c r="AO967" s="5"/>
      <c r="AP967" s="5"/>
      <c r="AQ967" s="5"/>
      <c r="AR967" s="5"/>
      <c r="AS967" s="5"/>
      <c r="AT967" s="5"/>
      <c r="AU967" s="5"/>
      <c r="AV967" s="5"/>
      <c r="AW967" s="5"/>
      <c r="AX967" s="5"/>
      <c r="AY967" s="5"/>
      <c r="AZ967" s="5"/>
      <c r="BA967" s="5"/>
      <c r="BB967" s="5"/>
      <c r="BC967" s="5"/>
      <c r="BD967" s="5"/>
      <c r="BE967" s="5"/>
      <c r="BF967" s="5"/>
      <c r="BG967" s="5"/>
      <c r="BH967" s="5"/>
      <c r="BI967" s="5"/>
      <c r="BJ967" s="5"/>
      <c r="BK967" s="5"/>
      <c r="BL967" s="5"/>
      <c r="BM967" s="5"/>
      <c r="BN967" s="5"/>
      <c r="BO967" s="5"/>
      <c r="BP967" s="5"/>
      <c r="BQ967" s="5"/>
      <c r="BR967" s="5"/>
      <c r="BS967" s="5"/>
      <c r="BT967" s="5"/>
      <c r="BU967" s="5"/>
      <c r="BV967" s="5"/>
      <c r="BW967" s="5"/>
      <c r="BX967" s="5"/>
      <c r="BY967" s="5"/>
      <c r="BZ967" s="5"/>
      <c r="CA967" s="5"/>
      <c r="CB967" s="5"/>
      <c r="CC967" s="5"/>
      <c r="CD967" s="5"/>
      <c r="CE967" s="5"/>
      <c r="CF967" s="5"/>
      <c r="CG967" s="5"/>
      <c r="CH967" s="5"/>
      <c r="CI967" s="5"/>
    </row>
    <row r="968" ht="14.25" customHeight="1">
      <c r="B968" s="1"/>
      <c r="D968" s="1"/>
      <c r="E968" s="33"/>
      <c r="F968" s="34"/>
      <c r="G968" s="5"/>
      <c r="H968" s="5"/>
      <c r="I968" s="5"/>
      <c r="J968" s="5"/>
      <c r="K968" s="5"/>
      <c r="L968" s="5"/>
      <c r="M968" s="32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  <c r="AE968" s="5"/>
      <c r="AF968" s="5"/>
      <c r="AG968" s="5"/>
      <c r="AH968" s="5"/>
      <c r="AI968" s="5"/>
      <c r="AJ968" s="5"/>
      <c r="AK968" s="5"/>
      <c r="AL968" s="5"/>
      <c r="AM968" s="5"/>
      <c r="AN968" s="5"/>
      <c r="AO968" s="5"/>
      <c r="AP968" s="5"/>
      <c r="AQ968" s="5"/>
      <c r="AR968" s="5"/>
      <c r="AS968" s="5"/>
      <c r="AT968" s="5"/>
      <c r="AU968" s="5"/>
      <c r="AV968" s="5"/>
      <c r="AW968" s="5"/>
      <c r="AX968" s="5"/>
      <c r="AY968" s="5"/>
      <c r="AZ968" s="5"/>
      <c r="BA968" s="5"/>
      <c r="BB968" s="5"/>
      <c r="BC968" s="5"/>
      <c r="BD968" s="5"/>
      <c r="BE968" s="5"/>
      <c r="BF968" s="5"/>
      <c r="BG968" s="5"/>
      <c r="BH968" s="5"/>
      <c r="BI968" s="5"/>
      <c r="BJ968" s="5"/>
      <c r="BK968" s="5"/>
      <c r="BL968" s="5"/>
      <c r="BM968" s="5"/>
      <c r="BN968" s="5"/>
      <c r="BO968" s="5"/>
      <c r="BP968" s="5"/>
      <c r="BQ968" s="5"/>
      <c r="BR968" s="5"/>
      <c r="BS968" s="5"/>
      <c r="BT968" s="5"/>
      <c r="BU968" s="5"/>
      <c r="BV968" s="5"/>
      <c r="BW968" s="5"/>
      <c r="BX968" s="5"/>
      <c r="BY968" s="5"/>
      <c r="BZ968" s="5"/>
      <c r="CA968" s="5"/>
      <c r="CB968" s="5"/>
      <c r="CC968" s="5"/>
      <c r="CD968" s="5"/>
      <c r="CE968" s="5"/>
      <c r="CF968" s="5"/>
      <c r="CG968" s="5"/>
      <c r="CH968" s="5"/>
      <c r="CI968" s="5"/>
    </row>
    <row r="969" ht="14.25" customHeight="1">
      <c r="B969" s="1"/>
      <c r="D969" s="1"/>
      <c r="E969" s="33"/>
      <c r="F969" s="34"/>
      <c r="G969" s="5"/>
      <c r="H969" s="5"/>
      <c r="I969" s="5"/>
      <c r="J969" s="5"/>
      <c r="K969" s="5"/>
      <c r="L969" s="5"/>
      <c r="M969" s="32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  <c r="AE969" s="5"/>
      <c r="AF969" s="5"/>
      <c r="AG969" s="5"/>
      <c r="AH969" s="5"/>
      <c r="AI969" s="5"/>
      <c r="AJ969" s="5"/>
      <c r="AK969" s="5"/>
      <c r="AL969" s="5"/>
      <c r="AM969" s="5"/>
      <c r="AN969" s="5"/>
      <c r="AO969" s="5"/>
      <c r="AP969" s="5"/>
      <c r="AQ969" s="5"/>
      <c r="AR969" s="5"/>
      <c r="AS969" s="5"/>
      <c r="AT969" s="5"/>
      <c r="AU969" s="5"/>
      <c r="AV969" s="5"/>
      <c r="AW969" s="5"/>
      <c r="AX969" s="5"/>
      <c r="AY969" s="5"/>
      <c r="AZ969" s="5"/>
      <c r="BA969" s="5"/>
      <c r="BB969" s="5"/>
      <c r="BC969" s="5"/>
      <c r="BD969" s="5"/>
      <c r="BE969" s="5"/>
      <c r="BF969" s="5"/>
      <c r="BG969" s="5"/>
      <c r="BH969" s="5"/>
      <c r="BI969" s="5"/>
      <c r="BJ969" s="5"/>
      <c r="BK969" s="5"/>
      <c r="BL969" s="5"/>
      <c r="BM969" s="5"/>
      <c r="BN969" s="5"/>
      <c r="BO969" s="5"/>
      <c r="BP969" s="5"/>
      <c r="BQ969" s="5"/>
      <c r="BR969" s="5"/>
      <c r="BS969" s="5"/>
      <c r="BT969" s="5"/>
      <c r="BU969" s="5"/>
      <c r="BV969" s="5"/>
      <c r="BW969" s="5"/>
      <c r="BX969" s="5"/>
      <c r="BY969" s="5"/>
      <c r="BZ969" s="5"/>
      <c r="CA969" s="5"/>
      <c r="CB969" s="5"/>
      <c r="CC969" s="5"/>
      <c r="CD969" s="5"/>
      <c r="CE969" s="5"/>
      <c r="CF969" s="5"/>
      <c r="CG969" s="5"/>
      <c r="CH969" s="5"/>
      <c r="CI969" s="5"/>
    </row>
    <row r="970" ht="14.25" customHeight="1">
      <c r="B970" s="1"/>
      <c r="D970" s="1"/>
      <c r="E970" s="33"/>
      <c r="F970" s="34"/>
      <c r="G970" s="5"/>
      <c r="H970" s="5"/>
      <c r="I970" s="5"/>
      <c r="J970" s="5"/>
      <c r="K970" s="5"/>
      <c r="L970" s="5"/>
      <c r="M970" s="32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  <c r="AG970" s="5"/>
      <c r="AH970" s="5"/>
      <c r="AI970" s="5"/>
      <c r="AJ970" s="5"/>
      <c r="AK970" s="5"/>
      <c r="AL970" s="5"/>
      <c r="AM970" s="5"/>
      <c r="AN970" s="5"/>
      <c r="AO970" s="5"/>
      <c r="AP970" s="5"/>
      <c r="AQ970" s="5"/>
      <c r="AR970" s="5"/>
      <c r="AS970" s="5"/>
      <c r="AT970" s="5"/>
      <c r="AU970" s="5"/>
      <c r="AV970" s="5"/>
      <c r="AW970" s="5"/>
      <c r="AX970" s="5"/>
      <c r="AY970" s="5"/>
      <c r="AZ970" s="5"/>
      <c r="BA970" s="5"/>
      <c r="BB970" s="5"/>
      <c r="BC970" s="5"/>
      <c r="BD970" s="5"/>
      <c r="BE970" s="5"/>
      <c r="BF970" s="5"/>
      <c r="BG970" s="5"/>
      <c r="BH970" s="5"/>
      <c r="BI970" s="5"/>
      <c r="BJ970" s="5"/>
      <c r="BK970" s="5"/>
      <c r="BL970" s="5"/>
      <c r="BM970" s="5"/>
      <c r="BN970" s="5"/>
      <c r="BO970" s="5"/>
      <c r="BP970" s="5"/>
      <c r="BQ970" s="5"/>
      <c r="BR970" s="5"/>
      <c r="BS970" s="5"/>
      <c r="BT970" s="5"/>
      <c r="BU970" s="5"/>
      <c r="BV970" s="5"/>
      <c r="BW970" s="5"/>
      <c r="BX970" s="5"/>
      <c r="BY970" s="5"/>
      <c r="BZ970" s="5"/>
      <c r="CA970" s="5"/>
      <c r="CB970" s="5"/>
      <c r="CC970" s="5"/>
      <c r="CD970" s="5"/>
      <c r="CE970" s="5"/>
      <c r="CF970" s="5"/>
      <c r="CG970" s="5"/>
      <c r="CH970" s="5"/>
      <c r="CI970" s="5"/>
    </row>
    <row r="971" ht="14.25" customHeight="1">
      <c r="B971" s="1"/>
      <c r="D971" s="1"/>
      <c r="E971" s="33"/>
      <c r="F971" s="34"/>
      <c r="G971" s="5"/>
      <c r="H971" s="5"/>
      <c r="I971" s="5"/>
      <c r="J971" s="5"/>
      <c r="K971" s="5"/>
      <c r="L971" s="5"/>
      <c r="M971" s="32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  <c r="AE971" s="5"/>
      <c r="AF971" s="5"/>
      <c r="AG971" s="5"/>
      <c r="AH971" s="5"/>
      <c r="AI971" s="5"/>
      <c r="AJ971" s="5"/>
      <c r="AK971" s="5"/>
      <c r="AL971" s="5"/>
      <c r="AM971" s="5"/>
      <c r="AN971" s="5"/>
      <c r="AO971" s="5"/>
      <c r="AP971" s="5"/>
      <c r="AQ971" s="5"/>
      <c r="AR971" s="5"/>
      <c r="AS971" s="5"/>
      <c r="AT971" s="5"/>
      <c r="AU971" s="5"/>
      <c r="AV971" s="5"/>
      <c r="AW971" s="5"/>
      <c r="AX971" s="5"/>
      <c r="AY971" s="5"/>
      <c r="AZ971" s="5"/>
      <c r="BA971" s="5"/>
      <c r="BB971" s="5"/>
      <c r="BC971" s="5"/>
      <c r="BD971" s="5"/>
      <c r="BE971" s="5"/>
      <c r="BF971" s="5"/>
      <c r="BG971" s="5"/>
      <c r="BH971" s="5"/>
      <c r="BI971" s="5"/>
      <c r="BJ971" s="5"/>
      <c r="BK971" s="5"/>
      <c r="BL971" s="5"/>
      <c r="BM971" s="5"/>
      <c r="BN971" s="5"/>
      <c r="BO971" s="5"/>
      <c r="BP971" s="5"/>
      <c r="BQ971" s="5"/>
      <c r="BR971" s="5"/>
      <c r="BS971" s="5"/>
      <c r="BT971" s="5"/>
      <c r="BU971" s="5"/>
      <c r="BV971" s="5"/>
      <c r="BW971" s="5"/>
      <c r="BX971" s="5"/>
      <c r="BY971" s="5"/>
      <c r="BZ971" s="5"/>
      <c r="CA971" s="5"/>
      <c r="CB971" s="5"/>
      <c r="CC971" s="5"/>
      <c r="CD971" s="5"/>
      <c r="CE971" s="5"/>
      <c r="CF971" s="5"/>
      <c r="CG971" s="5"/>
      <c r="CH971" s="5"/>
      <c r="CI971" s="5"/>
    </row>
    <row r="972" ht="14.25" customHeight="1">
      <c r="B972" s="1"/>
      <c r="D972" s="1"/>
      <c r="E972" s="33"/>
      <c r="F972" s="34"/>
      <c r="G972" s="5"/>
      <c r="H972" s="5"/>
      <c r="I972" s="5"/>
      <c r="J972" s="5"/>
      <c r="K972" s="5"/>
      <c r="L972" s="5"/>
      <c r="M972" s="32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  <c r="AE972" s="5"/>
      <c r="AF972" s="5"/>
      <c r="AG972" s="5"/>
      <c r="AH972" s="5"/>
      <c r="AI972" s="5"/>
      <c r="AJ972" s="5"/>
      <c r="AK972" s="5"/>
      <c r="AL972" s="5"/>
      <c r="AM972" s="5"/>
      <c r="AN972" s="5"/>
      <c r="AO972" s="5"/>
      <c r="AP972" s="5"/>
      <c r="AQ972" s="5"/>
      <c r="AR972" s="5"/>
      <c r="AS972" s="5"/>
      <c r="AT972" s="5"/>
      <c r="AU972" s="5"/>
      <c r="AV972" s="5"/>
      <c r="AW972" s="5"/>
      <c r="AX972" s="5"/>
      <c r="AY972" s="5"/>
      <c r="AZ972" s="5"/>
      <c r="BA972" s="5"/>
      <c r="BB972" s="5"/>
      <c r="BC972" s="5"/>
      <c r="BD972" s="5"/>
      <c r="BE972" s="5"/>
      <c r="BF972" s="5"/>
      <c r="BG972" s="5"/>
      <c r="BH972" s="5"/>
      <c r="BI972" s="5"/>
      <c r="BJ972" s="5"/>
      <c r="BK972" s="5"/>
      <c r="BL972" s="5"/>
      <c r="BM972" s="5"/>
      <c r="BN972" s="5"/>
      <c r="BO972" s="5"/>
      <c r="BP972" s="5"/>
      <c r="BQ972" s="5"/>
      <c r="BR972" s="5"/>
      <c r="BS972" s="5"/>
      <c r="BT972" s="5"/>
      <c r="BU972" s="5"/>
      <c r="BV972" s="5"/>
      <c r="BW972" s="5"/>
      <c r="BX972" s="5"/>
      <c r="BY972" s="5"/>
      <c r="BZ972" s="5"/>
      <c r="CA972" s="5"/>
      <c r="CB972" s="5"/>
      <c r="CC972" s="5"/>
      <c r="CD972" s="5"/>
      <c r="CE972" s="5"/>
      <c r="CF972" s="5"/>
      <c r="CG972" s="5"/>
      <c r="CH972" s="5"/>
      <c r="CI972" s="5"/>
    </row>
    <row r="973" ht="14.25" customHeight="1">
      <c r="B973" s="1"/>
      <c r="D973" s="1"/>
      <c r="E973" s="33"/>
      <c r="F973" s="34"/>
      <c r="G973" s="5"/>
      <c r="H973" s="5"/>
      <c r="I973" s="5"/>
      <c r="J973" s="5"/>
      <c r="K973" s="5"/>
      <c r="L973" s="5"/>
      <c r="M973" s="32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  <c r="AE973" s="5"/>
      <c r="AF973" s="5"/>
      <c r="AG973" s="5"/>
      <c r="AH973" s="5"/>
      <c r="AI973" s="5"/>
      <c r="AJ973" s="5"/>
      <c r="AK973" s="5"/>
      <c r="AL973" s="5"/>
      <c r="AM973" s="5"/>
      <c r="AN973" s="5"/>
      <c r="AO973" s="5"/>
      <c r="AP973" s="5"/>
      <c r="AQ973" s="5"/>
      <c r="AR973" s="5"/>
      <c r="AS973" s="5"/>
      <c r="AT973" s="5"/>
      <c r="AU973" s="5"/>
      <c r="AV973" s="5"/>
      <c r="AW973" s="5"/>
      <c r="AX973" s="5"/>
      <c r="AY973" s="5"/>
      <c r="AZ973" s="5"/>
      <c r="BA973" s="5"/>
      <c r="BB973" s="5"/>
      <c r="BC973" s="5"/>
      <c r="BD973" s="5"/>
      <c r="BE973" s="5"/>
      <c r="BF973" s="5"/>
      <c r="BG973" s="5"/>
      <c r="BH973" s="5"/>
      <c r="BI973" s="5"/>
      <c r="BJ973" s="5"/>
      <c r="BK973" s="5"/>
      <c r="BL973" s="5"/>
      <c r="BM973" s="5"/>
      <c r="BN973" s="5"/>
      <c r="BO973" s="5"/>
      <c r="BP973" s="5"/>
      <c r="BQ973" s="5"/>
      <c r="BR973" s="5"/>
      <c r="BS973" s="5"/>
      <c r="BT973" s="5"/>
      <c r="BU973" s="5"/>
      <c r="BV973" s="5"/>
      <c r="BW973" s="5"/>
      <c r="BX973" s="5"/>
      <c r="BY973" s="5"/>
      <c r="BZ973" s="5"/>
      <c r="CA973" s="5"/>
      <c r="CB973" s="5"/>
      <c r="CC973" s="5"/>
      <c r="CD973" s="5"/>
      <c r="CE973" s="5"/>
      <c r="CF973" s="5"/>
      <c r="CG973" s="5"/>
      <c r="CH973" s="5"/>
      <c r="CI973" s="5"/>
    </row>
    <row r="974" ht="14.25" customHeight="1">
      <c r="B974" s="1"/>
      <c r="D974" s="1"/>
      <c r="E974" s="33"/>
      <c r="F974" s="34"/>
      <c r="G974" s="5"/>
      <c r="H974" s="5"/>
      <c r="I974" s="5"/>
      <c r="J974" s="5"/>
      <c r="K974" s="5"/>
      <c r="L974" s="5"/>
      <c r="M974" s="32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  <c r="AE974" s="5"/>
      <c r="AF974" s="5"/>
      <c r="AG974" s="5"/>
      <c r="AH974" s="5"/>
      <c r="AI974" s="5"/>
      <c r="AJ974" s="5"/>
      <c r="AK974" s="5"/>
      <c r="AL974" s="5"/>
      <c r="AM974" s="5"/>
      <c r="AN974" s="5"/>
      <c r="AO974" s="5"/>
      <c r="AP974" s="5"/>
      <c r="AQ974" s="5"/>
      <c r="AR974" s="5"/>
      <c r="AS974" s="5"/>
      <c r="AT974" s="5"/>
      <c r="AU974" s="5"/>
      <c r="AV974" s="5"/>
      <c r="AW974" s="5"/>
      <c r="AX974" s="5"/>
      <c r="AY974" s="5"/>
      <c r="AZ974" s="5"/>
      <c r="BA974" s="5"/>
      <c r="BB974" s="5"/>
      <c r="BC974" s="5"/>
      <c r="BD974" s="5"/>
      <c r="BE974" s="5"/>
      <c r="BF974" s="5"/>
      <c r="BG974" s="5"/>
      <c r="BH974" s="5"/>
      <c r="BI974" s="5"/>
      <c r="BJ974" s="5"/>
      <c r="BK974" s="5"/>
      <c r="BL974" s="5"/>
      <c r="BM974" s="5"/>
      <c r="BN974" s="5"/>
      <c r="BO974" s="5"/>
      <c r="BP974" s="5"/>
      <c r="BQ974" s="5"/>
      <c r="BR974" s="5"/>
      <c r="BS974" s="5"/>
      <c r="BT974" s="5"/>
      <c r="BU974" s="5"/>
      <c r="BV974" s="5"/>
      <c r="BW974" s="5"/>
      <c r="BX974" s="5"/>
      <c r="BY974" s="5"/>
      <c r="BZ974" s="5"/>
      <c r="CA974" s="5"/>
      <c r="CB974" s="5"/>
      <c r="CC974" s="5"/>
      <c r="CD974" s="5"/>
      <c r="CE974" s="5"/>
      <c r="CF974" s="5"/>
      <c r="CG974" s="5"/>
      <c r="CH974" s="5"/>
      <c r="CI974" s="5"/>
    </row>
    <row r="975" ht="14.25" customHeight="1">
      <c r="B975" s="1"/>
      <c r="D975" s="1"/>
      <c r="E975" s="33"/>
      <c r="F975" s="34"/>
      <c r="G975" s="5"/>
      <c r="H975" s="5"/>
      <c r="I975" s="5"/>
      <c r="J975" s="5"/>
      <c r="K975" s="5"/>
      <c r="L975" s="5"/>
      <c r="M975" s="32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  <c r="AG975" s="5"/>
      <c r="AH975" s="5"/>
      <c r="AI975" s="5"/>
      <c r="AJ975" s="5"/>
      <c r="AK975" s="5"/>
      <c r="AL975" s="5"/>
      <c r="AM975" s="5"/>
      <c r="AN975" s="5"/>
      <c r="AO975" s="5"/>
      <c r="AP975" s="5"/>
      <c r="AQ975" s="5"/>
      <c r="AR975" s="5"/>
      <c r="AS975" s="5"/>
      <c r="AT975" s="5"/>
      <c r="AU975" s="5"/>
      <c r="AV975" s="5"/>
      <c r="AW975" s="5"/>
      <c r="AX975" s="5"/>
      <c r="AY975" s="5"/>
      <c r="AZ975" s="5"/>
      <c r="BA975" s="5"/>
      <c r="BB975" s="5"/>
      <c r="BC975" s="5"/>
      <c r="BD975" s="5"/>
      <c r="BE975" s="5"/>
      <c r="BF975" s="5"/>
      <c r="BG975" s="5"/>
      <c r="BH975" s="5"/>
      <c r="BI975" s="5"/>
      <c r="BJ975" s="5"/>
      <c r="BK975" s="5"/>
      <c r="BL975" s="5"/>
      <c r="BM975" s="5"/>
      <c r="BN975" s="5"/>
      <c r="BO975" s="5"/>
      <c r="BP975" s="5"/>
      <c r="BQ975" s="5"/>
      <c r="BR975" s="5"/>
      <c r="BS975" s="5"/>
      <c r="BT975" s="5"/>
      <c r="BU975" s="5"/>
      <c r="BV975" s="5"/>
      <c r="BW975" s="5"/>
      <c r="BX975" s="5"/>
      <c r="BY975" s="5"/>
      <c r="BZ975" s="5"/>
      <c r="CA975" s="5"/>
      <c r="CB975" s="5"/>
      <c r="CC975" s="5"/>
      <c r="CD975" s="5"/>
      <c r="CE975" s="5"/>
      <c r="CF975" s="5"/>
      <c r="CG975" s="5"/>
      <c r="CH975" s="5"/>
      <c r="CI975" s="5"/>
    </row>
    <row r="976" ht="14.25" customHeight="1">
      <c r="B976" s="1"/>
      <c r="D976" s="1"/>
      <c r="E976" s="33"/>
      <c r="F976" s="34"/>
      <c r="G976" s="5"/>
      <c r="H976" s="5"/>
      <c r="I976" s="5"/>
      <c r="J976" s="5"/>
      <c r="K976" s="5"/>
      <c r="L976" s="5"/>
      <c r="M976" s="32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  <c r="AG976" s="5"/>
      <c r="AH976" s="5"/>
      <c r="AI976" s="5"/>
      <c r="AJ976" s="5"/>
      <c r="AK976" s="5"/>
      <c r="AL976" s="5"/>
      <c r="AM976" s="5"/>
      <c r="AN976" s="5"/>
      <c r="AO976" s="5"/>
      <c r="AP976" s="5"/>
      <c r="AQ976" s="5"/>
      <c r="AR976" s="5"/>
      <c r="AS976" s="5"/>
      <c r="AT976" s="5"/>
      <c r="AU976" s="5"/>
      <c r="AV976" s="5"/>
      <c r="AW976" s="5"/>
      <c r="AX976" s="5"/>
      <c r="AY976" s="5"/>
      <c r="AZ976" s="5"/>
      <c r="BA976" s="5"/>
      <c r="BB976" s="5"/>
      <c r="BC976" s="5"/>
      <c r="BD976" s="5"/>
      <c r="BE976" s="5"/>
      <c r="BF976" s="5"/>
      <c r="BG976" s="5"/>
      <c r="BH976" s="5"/>
      <c r="BI976" s="5"/>
      <c r="BJ976" s="5"/>
      <c r="BK976" s="5"/>
      <c r="BL976" s="5"/>
      <c r="BM976" s="5"/>
      <c r="BN976" s="5"/>
      <c r="BO976" s="5"/>
      <c r="BP976" s="5"/>
      <c r="BQ976" s="5"/>
      <c r="BR976" s="5"/>
      <c r="BS976" s="5"/>
      <c r="BT976" s="5"/>
      <c r="BU976" s="5"/>
      <c r="BV976" s="5"/>
      <c r="BW976" s="5"/>
      <c r="BX976" s="5"/>
      <c r="BY976" s="5"/>
      <c r="BZ976" s="5"/>
      <c r="CA976" s="5"/>
      <c r="CB976" s="5"/>
      <c r="CC976" s="5"/>
      <c r="CD976" s="5"/>
      <c r="CE976" s="5"/>
      <c r="CF976" s="5"/>
      <c r="CG976" s="5"/>
      <c r="CH976" s="5"/>
      <c r="CI976" s="5"/>
    </row>
    <row r="977" ht="14.25" customHeight="1">
      <c r="B977" s="1"/>
      <c r="D977" s="1"/>
      <c r="E977" s="33"/>
      <c r="F977" s="34"/>
      <c r="G977" s="5"/>
      <c r="H977" s="5"/>
      <c r="I977" s="5"/>
      <c r="J977" s="5"/>
      <c r="K977" s="5"/>
      <c r="L977" s="5"/>
      <c r="M977" s="32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  <c r="AG977" s="5"/>
      <c r="AH977" s="5"/>
      <c r="AI977" s="5"/>
      <c r="AJ977" s="5"/>
      <c r="AK977" s="5"/>
      <c r="AL977" s="5"/>
      <c r="AM977" s="5"/>
      <c r="AN977" s="5"/>
      <c r="AO977" s="5"/>
      <c r="AP977" s="5"/>
      <c r="AQ977" s="5"/>
      <c r="AR977" s="5"/>
      <c r="AS977" s="5"/>
      <c r="AT977" s="5"/>
      <c r="AU977" s="5"/>
      <c r="AV977" s="5"/>
      <c r="AW977" s="5"/>
      <c r="AX977" s="5"/>
      <c r="AY977" s="5"/>
      <c r="AZ977" s="5"/>
      <c r="BA977" s="5"/>
      <c r="BB977" s="5"/>
      <c r="BC977" s="5"/>
      <c r="BD977" s="5"/>
      <c r="BE977" s="5"/>
      <c r="BF977" s="5"/>
      <c r="BG977" s="5"/>
      <c r="BH977" s="5"/>
      <c r="BI977" s="5"/>
      <c r="BJ977" s="5"/>
      <c r="BK977" s="5"/>
      <c r="BL977" s="5"/>
      <c r="BM977" s="5"/>
      <c r="BN977" s="5"/>
      <c r="BO977" s="5"/>
      <c r="BP977" s="5"/>
      <c r="BQ977" s="5"/>
      <c r="BR977" s="5"/>
      <c r="BS977" s="5"/>
      <c r="BT977" s="5"/>
      <c r="BU977" s="5"/>
      <c r="BV977" s="5"/>
      <c r="BW977" s="5"/>
      <c r="BX977" s="5"/>
      <c r="BY977" s="5"/>
      <c r="BZ977" s="5"/>
      <c r="CA977" s="5"/>
      <c r="CB977" s="5"/>
      <c r="CC977" s="5"/>
      <c r="CD977" s="5"/>
      <c r="CE977" s="5"/>
      <c r="CF977" s="5"/>
      <c r="CG977" s="5"/>
      <c r="CH977" s="5"/>
      <c r="CI977" s="5"/>
    </row>
    <row r="978" ht="14.25" customHeight="1">
      <c r="B978" s="1"/>
      <c r="D978" s="1"/>
      <c r="E978" s="33"/>
      <c r="F978" s="34"/>
      <c r="G978" s="5"/>
      <c r="H978" s="5"/>
      <c r="I978" s="5"/>
      <c r="J978" s="5"/>
      <c r="K978" s="5"/>
      <c r="L978" s="5"/>
      <c r="M978" s="32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  <c r="AE978" s="5"/>
      <c r="AF978" s="5"/>
      <c r="AG978" s="5"/>
      <c r="AH978" s="5"/>
      <c r="AI978" s="5"/>
      <c r="AJ978" s="5"/>
      <c r="AK978" s="5"/>
      <c r="AL978" s="5"/>
      <c r="AM978" s="5"/>
      <c r="AN978" s="5"/>
      <c r="AO978" s="5"/>
      <c r="AP978" s="5"/>
      <c r="AQ978" s="5"/>
      <c r="AR978" s="5"/>
      <c r="AS978" s="5"/>
      <c r="AT978" s="5"/>
      <c r="AU978" s="5"/>
      <c r="AV978" s="5"/>
      <c r="AW978" s="5"/>
      <c r="AX978" s="5"/>
      <c r="AY978" s="5"/>
      <c r="AZ978" s="5"/>
      <c r="BA978" s="5"/>
      <c r="BB978" s="5"/>
      <c r="BC978" s="5"/>
      <c r="BD978" s="5"/>
      <c r="BE978" s="5"/>
      <c r="BF978" s="5"/>
      <c r="BG978" s="5"/>
      <c r="BH978" s="5"/>
      <c r="BI978" s="5"/>
      <c r="BJ978" s="5"/>
      <c r="BK978" s="5"/>
      <c r="BL978" s="5"/>
      <c r="BM978" s="5"/>
      <c r="BN978" s="5"/>
      <c r="BO978" s="5"/>
      <c r="BP978" s="5"/>
      <c r="BQ978" s="5"/>
      <c r="BR978" s="5"/>
      <c r="BS978" s="5"/>
      <c r="BT978" s="5"/>
      <c r="BU978" s="5"/>
      <c r="BV978" s="5"/>
      <c r="BW978" s="5"/>
      <c r="BX978" s="5"/>
      <c r="BY978" s="5"/>
      <c r="BZ978" s="5"/>
      <c r="CA978" s="5"/>
      <c r="CB978" s="5"/>
      <c r="CC978" s="5"/>
      <c r="CD978" s="5"/>
      <c r="CE978" s="5"/>
      <c r="CF978" s="5"/>
      <c r="CG978" s="5"/>
      <c r="CH978" s="5"/>
      <c r="CI978" s="5"/>
    </row>
    <row r="979" ht="14.25" customHeight="1">
      <c r="B979" s="1"/>
      <c r="D979" s="1"/>
      <c r="E979" s="33"/>
      <c r="F979" s="34"/>
      <c r="G979" s="5"/>
      <c r="H979" s="5"/>
      <c r="I979" s="5"/>
      <c r="J979" s="5"/>
      <c r="K979" s="5"/>
      <c r="L979" s="5"/>
      <c r="M979" s="32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  <c r="AE979" s="5"/>
      <c r="AF979" s="5"/>
      <c r="AG979" s="5"/>
      <c r="AH979" s="5"/>
      <c r="AI979" s="5"/>
      <c r="AJ979" s="5"/>
      <c r="AK979" s="5"/>
      <c r="AL979" s="5"/>
      <c r="AM979" s="5"/>
      <c r="AN979" s="5"/>
      <c r="AO979" s="5"/>
      <c r="AP979" s="5"/>
      <c r="AQ979" s="5"/>
      <c r="AR979" s="5"/>
      <c r="AS979" s="5"/>
      <c r="AT979" s="5"/>
      <c r="AU979" s="5"/>
      <c r="AV979" s="5"/>
      <c r="AW979" s="5"/>
      <c r="AX979" s="5"/>
      <c r="AY979" s="5"/>
      <c r="AZ979" s="5"/>
      <c r="BA979" s="5"/>
      <c r="BB979" s="5"/>
      <c r="BC979" s="5"/>
      <c r="BD979" s="5"/>
      <c r="BE979" s="5"/>
      <c r="BF979" s="5"/>
      <c r="BG979" s="5"/>
      <c r="BH979" s="5"/>
      <c r="BI979" s="5"/>
      <c r="BJ979" s="5"/>
      <c r="BK979" s="5"/>
      <c r="BL979" s="5"/>
      <c r="BM979" s="5"/>
      <c r="BN979" s="5"/>
      <c r="BO979" s="5"/>
      <c r="BP979" s="5"/>
      <c r="BQ979" s="5"/>
      <c r="BR979" s="5"/>
      <c r="BS979" s="5"/>
      <c r="BT979" s="5"/>
      <c r="BU979" s="5"/>
      <c r="BV979" s="5"/>
      <c r="BW979" s="5"/>
      <c r="BX979" s="5"/>
      <c r="BY979" s="5"/>
      <c r="BZ979" s="5"/>
      <c r="CA979" s="5"/>
      <c r="CB979" s="5"/>
      <c r="CC979" s="5"/>
      <c r="CD979" s="5"/>
      <c r="CE979" s="5"/>
      <c r="CF979" s="5"/>
      <c r="CG979" s="5"/>
      <c r="CH979" s="5"/>
      <c r="CI979" s="5"/>
    </row>
    <row r="980" ht="14.25" customHeight="1">
      <c r="B980" s="1"/>
      <c r="D980" s="1"/>
      <c r="E980" s="33"/>
      <c r="F980" s="34"/>
      <c r="G980" s="5"/>
      <c r="H980" s="5"/>
      <c r="I980" s="5"/>
      <c r="J980" s="5"/>
      <c r="K980" s="5"/>
      <c r="L980" s="5"/>
      <c r="M980" s="32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  <c r="AE980" s="5"/>
      <c r="AF980" s="5"/>
      <c r="AG980" s="5"/>
      <c r="AH980" s="5"/>
      <c r="AI980" s="5"/>
      <c r="AJ980" s="5"/>
      <c r="AK980" s="5"/>
      <c r="AL980" s="5"/>
      <c r="AM980" s="5"/>
      <c r="AN980" s="5"/>
      <c r="AO980" s="5"/>
      <c r="AP980" s="5"/>
      <c r="AQ980" s="5"/>
      <c r="AR980" s="5"/>
      <c r="AS980" s="5"/>
      <c r="AT980" s="5"/>
      <c r="AU980" s="5"/>
      <c r="AV980" s="5"/>
      <c r="AW980" s="5"/>
      <c r="AX980" s="5"/>
      <c r="AY980" s="5"/>
      <c r="AZ980" s="5"/>
      <c r="BA980" s="5"/>
      <c r="BB980" s="5"/>
      <c r="BC980" s="5"/>
      <c r="BD980" s="5"/>
      <c r="BE980" s="5"/>
      <c r="BF980" s="5"/>
      <c r="BG980" s="5"/>
      <c r="BH980" s="5"/>
      <c r="BI980" s="5"/>
      <c r="BJ980" s="5"/>
      <c r="BK980" s="5"/>
      <c r="BL980" s="5"/>
      <c r="BM980" s="5"/>
      <c r="BN980" s="5"/>
      <c r="BO980" s="5"/>
      <c r="BP980" s="5"/>
      <c r="BQ980" s="5"/>
      <c r="BR980" s="5"/>
      <c r="BS980" s="5"/>
      <c r="BT980" s="5"/>
      <c r="BU980" s="5"/>
      <c r="BV980" s="5"/>
      <c r="BW980" s="5"/>
      <c r="BX980" s="5"/>
      <c r="BY980" s="5"/>
      <c r="BZ980" s="5"/>
      <c r="CA980" s="5"/>
      <c r="CB980" s="5"/>
      <c r="CC980" s="5"/>
      <c r="CD980" s="5"/>
      <c r="CE980" s="5"/>
      <c r="CF980" s="5"/>
      <c r="CG980" s="5"/>
      <c r="CH980" s="5"/>
      <c r="CI980" s="5"/>
    </row>
    <row r="981" ht="14.25" customHeight="1">
      <c r="B981" s="1"/>
      <c r="D981" s="1"/>
      <c r="E981" s="33"/>
      <c r="F981" s="34"/>
      <c r="G981" s="5"/>
      <c r="H981" s="5"/>
      <c r="I981" s="5"/>
      <c r="J981" s="5"/>
      <c r="K981" s="5"/>
      <c r="L981" s="5"/>
      <c r="M981" s="32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  <c r="AE981" s="5"/>
      <c r="AF981" s="5"/>
      <c r="AG981" s="5"/>
      <c r="AH981" s="5"/>
      <c r="AI981" s="5"/>
      <c r="AJ981" s="5"/>
      <c r="AK981" s="5"/>
      <c r="AL981" s="5"/>
      <c r="AM981" s="5"/>
      <c r="AN981" s="5"/>
      <c r="AO981" s="5"/>
      <c r="AP981" s="5"/>
      <c r="AQ981" s="5"/>
      <c r="AR981" s="5"/>
      <c r="AS981" s="5"/>
      <c r="AT981" s="5"/>
      <c r="AU981" s="5"/>
      <c r="AV981" s="5"/>
      <c r="AW981" s="5"/>
      <c r="AX981" s="5"/>
      <c r="AY981" s="5"/>
      <c r="AZ981" s="5"/>
      <c r="BA981" s="5"/>
      <c r="BB981" s="5"/>
      <c r="BC981" s="5"/>
      <c r="BD981" s="5"/>
      <c r="BE981" s="5"/>
      <c r="BF981" s="5"/>
      <c r="BG981" s="5"/>
      <c r="BH981" s="5"/>
      <c r="BI981" s="5"/>
      <c r="BJ981" s="5"/>
      <c r="BK981" s="5"/>
      <c r="BL981" s="5"/>
      <c r="BM981" s="5"/>
      <c r="BN981" s="5"/>
      <c r="BO981" s="5"/>
      <c r="BP981" s="5"/>
      <c r="BQ981" s="5"/>
      <c r="BR981" s="5"/>
      <c r="BS981" s="5"/>
      <c r="BT981" s="5"/>
      <c r="BU981" s="5"/>
      <c r="BV981" s="5"/>
      <c r="BW981" s="5"/>
      <c r="BX981" s="5"/>
      <c r="BY981" s="5"/>
      <c r="BZ981" s="5"/>
      <c r="CA981" s="5"/>
      <c r="CB981" s="5"/>
      <c r="CC981" s="5"/>
      <c r="CD981" s="5"/>
      <c r="CE981" s="5"/>
      <c r="CF981" s="5"/>
      <c r="CG981" s="5"/>
      <c r="CH981" s="5"/>
      <c r="CI981" s="5"/>
    </row>
    <row r="982" ht="14.25" customHeight="1">
      <c r="B982" s="1"/>
      <c r="D982" s="1"/>
      <c r="E982" s="33"/>
      <c r="F982" s="34"/>
      <c r="G982" s="5"/>
      <c r="H982" s="5"/>
      <c r="I982" s="5"/>
      <c r="J982" s="5"/>
      <c r="K982" s="5"/>
      <c r="L982" s="5"/>
      <c r="M982" s="32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  <c r="AG982" s="5"/>
      <c r="AH982" s="5"/>
      <c r="AI982" s="5"/>
      <c r="AJ982" s="5"/>
      <c r="AK982" s="5"/>
      <c r="AL982" s="5"/>
      <c r="AM982" s="5"/>
      <c r="AN982" s="5"/>
      <c r="AO982" s="5"/>
      <c r="AP982" s="5"/>
      <c r="AQ982" s="5"/>
      <c r="AR982" s="5"/>
      <c r="AS982" s="5"/>
      <c r="AT982" s="5"/>
      <c r="AU982" s="5"/>
      <c r="AV982" s="5"/>
      <c r="AW982" s="5"/>
      <c r="AX982" s="5"/>
      <c r="AY982" s="5"/>
      <c r="AZ982" s="5"/>
      <c r="BA982" s="5"/>
      <c r="BB982" s="5"/>
      <c r="BC982" s="5"/>
      <c r="BD982" s="5"/>
      <c r="BE982" s="5"/>
      <c r="BF982" s="5"/>
      <c r="BG982" s="5"/>
      <c r="BH982" s="5"/>
      <c r="BI982" s="5"/>
      <c r="BJ982" s="5"/>
      <c r="BK982" s="5"/>
      <c r="BL982" s="5"/>
      <c r="BM982" s="5"/>
      <c r="BN982" s="5"/>
      <c r="BO982" s="5"/>
      <c r="BP982" s="5"/>
      <c r="BQ982" s="5"/>
      <c r="BR982" s="5"/>
      <c r="BS982" s="5"/>
      <c r="BT982" s="5"/>
      <c r="BU982" s="5"/>
      <c r="BV982" s="5"/>
      <c r="BW982" s="5"/>
      <c r="BX982" s="5"/>
      <c r="BY982" s="5"/>
      <c r="BZ982" s="5"/>
      <c r="CA982" s="5"/>
      <c r="CB982" s="5"/>
      <c r="CC982" s="5"/>
      <c r="CD982" s="5"/>
      <c r="CE982" s="5"/>
      <c r="CF982" s="5"/>
      <c r="CG982" s="5"/>
      <c r="CH982" s="5"/>
      <c r="CI982" s="5"/>
    </row>
    <row r="983" ht="14.25" customHeight="1">
      <c r="B983" s="1"/>
      <c r="D983" s="1"/>
      <c r="E983" s="33"/>
      <c r="F983" s="34"/>
      <c r="G983" s="5"/>
      <c r="H983" s="5"/>
      <c r="I983" s="5"/>
      <c r="J983" s="5"/>
      <c r="K983" s="5"/>
      <c r="L983" s="5"/>
      <c r="M983" s="32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  <c r="AE983" s="5"/>
      <c r="AF983" s="5"/>
      <c r="AG983" s="5"/>
      <c r="AH983" s="5"/>
      <c r="AI983" s="5"/>
      <c r="AJ983" s="5"/>
      <c r="AK983" s="5"/>
      <c r="AL983" s="5"/>
      <c r="AM983" s="5"/>
      <c r="AN983" s="5"/>
      <c r="AO983" s="5"/>
      <c r="AP983" s="5"/>
      <c r="AQ983" s="5"/>
      <c r="AR983" s="5"/>
      <c r="AS983" s="5"/>
      <c r="AT983" s="5"/>
      <c r="AU983" s="5"/>
      <c r="AV983" s="5"/>
      <c r="AW983" s="5"/>
      <c r="AX983" s="5"/>
      <c r="AY983" s="5"/>
      <c r="AZ983" s="5"/>
      <c r="BA983" s="5"/>
      <c r="BB983" s="5"/>
      <c r="BC983" s="5"/>
      <c r="BD983" s="5"/>
      <c r="BE983" s="5"/>
      <c r="BF983" s="5"/>
      <c r="BG983" s="5"/>
      <c r="BH983" s="5"/>
      <c r="BI983" s="5"/>
      <c r="BJ983" s="5"/>
      <c r="BK983" s="5"/>
      <c r="BL983" s="5"/>
      <c r="BM983" s="5"/>
      <c r="BN983" s="5"/>
      <c r="BO983" s="5"/>
      <c r="BP983" s="5"/>
      <c r="BQ983" s="5"/>
      <c r="BR983" s="5"/>
      <c r="BS983" s="5"/>
      <c r="BT983" s="5"/>
      <c r="BU983" s="5"/>
      <c r="BV983" s="5"/>
      <c r="BW983" s="5"/>
      <c r="BX983" s="5"/>
      <c r="BY983" s="5"/>
      <c r="BZ983" s="5"/>
      <c r="CA983" s="5"/>
      <c r="CB983" s="5"/>
      <c r="CC983" s="5"/>
      <c r="CD983" s="5"/>
      <c r="CE983" s="5"/>
      <c r="CF983" s="5"/>
      <c r="CG983" s="5"/>
      <c r="CH983" s="5"/>
      <c r="CI983" s="5"/>
    </row>
    <row r="984" ht="14.25" customHeight="1">
      <c r="B984" s="1"/>
      <c r="D984" s="1"/>
      <c r="E984" s="33"/>
      <c r="F984" s="34"/>
      <c r="G984" s="5"/>
      <c r="H984" s="5"/>
      <c r="I984" s="5"/>
      <c r="J984" s="5"/>
      <c r="K984" s="5"/>
      <c r="L984" s="5"/>
      <c r="M984" s="32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  <c r="AE984" s="5"/>
      <c r="AF984" s="5"/>
      <c r="AG984" s="5"/>
      <c r="AH984" s="5"/>
      <c r="AI984" s="5"/>
      <c r="AJ984" s="5"/>
      <c r="AK984" s="5"/>
      <c r="AL984" s="5"/>
      <c r="AM984" s="5"/>
      <c r="AN984" s="5"/>
      <c r="AO984" s="5"/>
      <c r="AP984" s="5"/>
      <c r="AQ984" s="5"/>
      <c r="AR984" s="5"/>
      <c r="AS984" s="5"/>
      <c r="AT984" s="5"/>
      <c r="AU984" s="5"/>
      <c r="AV984" s="5"/>
      <c r="AW984" s="5"/>
      <c r="AX984" s="5"/>
      <c r="AY984" s="5"/>
      <c r="AZ984" s="5"/>
      <c r="BA984" s="5"/>
      <c r="BB984" s="5"/>
      <c r="BC984" s="5"/>
      <c r="BD984" s="5"/>
      <c r="BE984" s="5"/>
      <c r="BF984" s="5"/>
      <c r="BG984" s="5"/>
      <c r="BH984" s="5"/>
      <c r="BI984" s="5"/>
      <c r="BJ984" s="5"/>
      <c r="BK984" s="5"/>
      <c r="BL984" s="5"/>
      <c r="BM984" s="5"/>
      <c r="BN984" s="5"/>
      <c r="BO984" s="5"/>
      <c r="BP984" s="5"/>
      <c r="BQ984" s="5"/>
      <c r="BR984" s="5"/>
      <c r="BS984" s="5"/>
      <c r="BT984" s="5"/>
      <c r="BU984" s="5"/>
      <c r="BV984" s="5"/>
      <c r="BW984" s="5"/>
      <c r="BX984" s="5"/>
      <c r="BY984" s="5"/>
      <c r="BZ984" s="5"/>
      <c r="CA984" s="5"/>
      <c r="CB984" s="5"/>
      <c r="CC984" s="5"/>
      <c r="CD984" s="5"/>
      <c r="CE984" s="5"/>
      <c r="CF984" s="5"/>
      <c r="CG984" s="5"/>
      <c r="CH984" s="5"/>
      <c r="CI984" s="5"/>
    </row>
    <row r="985" ht="14.25" customHeight="1">
      <c r="B985" s="1"/>
      <c r="D985" s="1"/>
      <c r="E985" s="33"/>
      <c r="F985" s="34"/>
      <c r="G985" s="5"/>
      <c r="H985" s="5"/>
      <c r="I985" s="5"/>
      <c r="J985" s="5"/>
      <c r="K985" s="5"/>
      <c r="L985" s="5"/>
      <c r="M985" s="32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  <c r="AE985" s="5"/>
      <c r="AF985" s="5"/>
      <c r="AG985" s="5"/>
      <c r="AH985" s="5"/>
      <c r="AI985" s="5"/>
      <c r="AJ985" s="5"/>
      <c r="AK985" s="5"/>
      <c r="AL985" s="5"/>
      <c r="AM985" s="5"/>
      <c r="AN985" s="5"/>
      <c r="AO985" s="5"/>
      <c r="AP985" s="5"/>
      <c r="AQ985" s="5"/>
      <c r="AR985" s="5"/>
      <c r="AS985" s="5"/>
      <c r="AT985" s="5"/>
      <c r="AU985" s="5"/>
      <c r="AV985" s="5"/>
      <c r="AW985" s="5"/>
      <c r="AX985" s="5"/>
      <c r="AY985" s="5"/>
      <c r="AZ985" s="5"/>
      <c r="BA985" s="5"/>
      <c r="BB985" s="5"/>
      <c r="BC985" s="5"/>
      <c r="BD985" s="5"/>
      <c r="BE985" s="5"/>
      <c r="BF985" s="5"/>
      <c r="BG985" s="5"/>
      <c r="BH985" s="5"/>
      <c r="BI985" s="5"/>
      <c r="BJ985" s="5"/>
      <c r="BK985" s="5"/>
      <c r="BL985" s="5"/>
      <c r="BM985" s="5"/>
      <c r="BN985" s="5"/>
      <c r="BO985" s="5"/>
      <c r="BP985" s="5"/>
      <c r="BQ985" s="5"/>
      <c r="BR985" s="5"/>
      <c r="BS985" s="5"/>
      <c r="BT985" s="5"/>
      <c r="BU985" s="5"/>
      <c r="BV985" s="5"/>
      <c r="BW985" s="5"/>
      <c r="BX985" s="5"/>
      <c r="BY985" s="5"/>
      <c r="BZ985" s="5"/>
      <c r="CA985" s="5"/>
      <c r="CB985" s="5"/>
      <c r="CC985" s="5"/>
      <c r="CD985" s="5"/>
      <c r="CE985" s="5"/>
      <c r="CF985" s="5"/>
      <c r="CG985" s="5"/>
      <c r="CH985" s="5"/>
      <c r="CI985" s="5"/>
    </row>
    <row r="986" ht="14.25" customHeight="1">
      <c r="B986" s="1"/>
      <c r="D986" s="1"/>
      <c r="E986" s="33"/>
      <c r="F986" s="34"/>
      <c r="G986" s="5"/>
      <c r="H986" s="5"/>
      <c r="I986" s="5"/>
      <c r="J986" s="5"/>
      <c r="K986" s="5"/>
      <c r="L986" s="5"/>
      <c r="M986" s="32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  <c r="AE986" s="5"/>
      <c r="AF986" s="5"/>
      <c r="AG986" s="5"/>
      <c r="AH986" s="5"/>
      <c r="AI986" s="5"/>
      <c r="AJ986" s="5"/>
      <c r="AK986" s="5"/>
      <c r="AL986" s="5"/>
      <c r="AM986" s="5"/>
      <c r="AN986" s="5"/>
      <c r="AO986" s="5"/>
      <c r="AP986" s="5"/>
      <c r="AQ986" s="5"/>
      <c r="AR986" s="5"/>
      <c r="AS986" s="5"/>
      <c r="AT986" s="5"/>
      <c r="AU986" s="5"/>
      <c r="AV986" s="5"/>
      <c r="AW986" s="5"/>
      <c r="AX986" s="5"/>
      <c r="AY986" s="5"/>
      <c r="AZ986" s="5"/>
      <c r="BA986" s="5"/>
      <c r="BB986" s="5"/>
      <c r="BC986" s="5"/>
      <c r="BD986" s="5"/>
      <c r="BE986" s="5"/>
      <c r="BF986" s="5"/>
      <c r="BG986" s="5"/>
      <c r="BH986" s="5"/>
      <c r="BI986" s="5"/>
      <c r="BJ986" s="5"/>
      <c r="BK986" s="5"/>
      <c r="BL986" s="5"/>
      <c r="BM986" s="5"/>
      <c r="BN986" s="5"/>
      <c r="BO986" s="5"/>
      <c r="BP986" s="5"/>
      <c r="BQ986" s="5"/>
      <c r="BR986" s="5"/>
      <c r="BS986" s="5"/>
      <c r="BT986" s="5"/>
      <c r="BU986" s="5"/>
      <c r="BV986" s="5"/>
      <c r="BW986" s="5"/>
      <c r="BX986" s="5"/>
      <c r="BY986" s="5"/>
      <c r="BZ986" s="5"/>
      <c r="CA986" s="5"/>
      <c r="CB986" s="5"/>
      <c r="CC986" s="5"/>
      <c r="CD986" s="5"/>
      <c r="CE986" s="5"/>
      <c r="CF986" s="5"/>
      <c r="CG986" s="5"/>
      <c r="CH986" s="5"/>
      <c r="CI986" s="5"/>
    </row>
    <row r="987" ht="14.25" customHeight="1">
      <c r="B987" s="1"/>
      <c r="D987" s="1"/>
      <c r="E987" s="33"/>
      <c r="F987" s="34"/>
      <c r="G987" s="5"/>
      <c r="H987" s="5"/>
      <c r="I987" s="5"/>
      <c r="J987" s="5"/>
      <c r="K987" s="5"/>
      <c r="L987" s="5"/>
      <c r="M987" s="32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  <c r="AE987" s="5"/>
      <c r="AF987" s="5"/>
      <c r="AG987" s="5"/>
      <c r="AH987" s="5"/>
      <c r="AI987" s="5"/>
      <c r="AJ987" s="5"/>
      <c r="AK987" s="5"/>
      <c r="AL987" s="5"/>
      <c r="AM987" s="5"/>
      <c r="AN987" s="5"/>
      <c r="AO987" s="5"/>
      <c r="AP987" s="5"/>
      <c r="AQ987" s="5"/>
      <c r="AR987" s="5"/>
      <c r="AS987" s="5"/>
      <c r="AT987" s="5"/>
      <c r="AU987" s="5"/>
      <c r="AV987" s="5"/>
      <c r="AW987" s="5"/>
      <c r="AX987" s="5"/>
      <c r="AY987" s="5"/>
      <c r="AZ987" s="5"/>
      <c r="BA987" s="5"/>
      <c r="BB987" s="5"/>
      <c r="BC987" s="5"/>
      <c r="BD987" s="5"/>
      <c r="BE987" s="5"/>
      <c r="BF987" s="5"/>
      <c r="BG987" s="5"/>
      <c r="BH987" s="5"/>
      <c r="BI987" s="5"/>
      <c r="BJ987" s="5"/>
      <c r="BK987" s="5"/>
      <c r="BL987" s="5"/>
      <c r="BM987" s="5"/>
      <c r="BN987" s="5"/>
      <c r="BO987" s="5"/>
      <c r="BP987" s="5"/>
      <c r="BQ987" s="5"/>
      <c r="BR987" s="5"/>
      <c r="BS987" s="5"/>
      <c r="BT987" s="5"/>
      <c r="BU987" s="5"/>
      <c r="BV987" s="5"/>
      <c r="BW987" s="5"/>
      <c r="BX987" s="5"/>
      <c r="BY987" s="5"/>
      <c r="BZ987" s="5"/>
      <c r="CA987" s="5"/>
      <c r="CB987" s="5"/>
      <c r="CC987" s="5"/>
      <c r="CD987" s="5"/>
      <c r="CE987" s="5"/>
      <c r="CF987" s="5"/>
      <c r="CG987" s="5"/>
      <c r="CH987" s="5"/>
      <c r="CI987" s="5"/>
    </row>
    <row r="988" ht="14.25" customHeight="1">
      <c r="B988" s="1"/>
      <c r="D988" s="1"/>
      <c r="E988" s="33"/>
      <c r="F988" s="34"/>
      <c r="G988" s="5"/>
      <c r="H988" s="5"/>
      <c r="I988" s="5"/>
      <c r="J988" s="5"/>
      <c r="K988" s="5"/>
      <c r="L988" s="5"/>
      <c r="M988" s="32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  <c r="AE988" s="5"/>
      <c r="AF988" s="5"/>
      <c r="AG988" s="5"/>
      <c r="AH988" s="5"/>
      <c r="AI988" s="5"/>
      <c r="AJ988" s="5"/>
      <c r="AK988" s="5"/>
      <c r="AL988" s="5"/>
      <c r="AM988" s="5"/>
      <c r="AN988" s="5"/>
      <c r="AO988" s="5"/>
      <c r="AP988" s="5"/>
      <c r="AQ988" s="5"/>
      <c r="AR988" s="5"/>
      <c r="AS988" s="5"/>
      <c r="AT988" s="5"/>
      <c r="AU988" s="5"/>
      <c r="AV988" s="5"/>
      <c r="AW988" s="5"/>
      <c r="AX988" s="5"/>
      <c r="AY988" s="5"/>
      <c r="AZ988" s="5"/>
      <c r="BA988" s="5"/>
      <c r="BB988" s="5"/>
      <c r="BC988" s="5"/>
      <c r="BD988" s="5"/>
      <c r="BE988" s="5"/>
      <c r="BF988" s="5"/>
      <c r="BG988" s="5"/>
      <c r="BH988" s="5"/>
      <c r="BI988" s="5"/>
      <c r="BJ988" s="5"/>
      <c r="BK988" s="5"/>
      <c r="BL988" s="5"/>
      <c r="BM988" s="5"/>
      <c r="BN988" s="5"/>
      <c r="BO988" s="5"/>
      <c r="BP988" s="5"/>
      <c r="BQ988" s="5"/>
      <c r="BR988" s="5"/>
      <c r="BS988" s="5"/>
      <c r="BT988" s="5"/>
      <c r="BU988" s="5"/>
      <c r="BV988" s="5"/>
      <c r="BW988" s="5"/>
      <c r="BX988" s="5"/>
      <c r="BY988" s="5"/>
      <c r="BZ988" s="5"/>
      <c r="CA988" s="5"/>
      <c r="CB988" s="5"/>
      <c r="CC988" s="5"/>
      <c r="CD988" s="5"/>
      <c r="CE988" s="5"/>
      <c r="CF988" s="5"/>
      <c r="CG988" s="5"/>
      <c r="CH988" s="5"/>
      <c r="CI988" s="5"/>
    </row>
    <row r="989" ht="14.25" customHeight="1">
      <c r="B989" s="1"/>
      <c r="D989" s="1"/>
      <c r="E989" s="33"/>
      <c r="F989" s="34"/>
      <c r="G989" s="5"/>
      <c r="H989" s="5"/>
      <c r="I989" s="5"/>
      <c r="J989" s="5"/>
      <c r="K989" s="5"/>
      <c r="L989" s="5"/>
      <c r="M989" s="32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  <c r="AE989" s="5"/>
      <c r="AF989" s="5"/>
      <c r="AG989" s="5"/>
      <c r="AH989" s="5"/>
      <c r="AI989" s="5"/>
      <c r="AJ989" s="5"/>
      <c r="AK989" s="5"/>
      <c r="AL989" s="5"/>
      <c r="AM989" s="5"/>
      <c r="AN989" s="5"/>
      <c r="AO989" s="5"/>
      <c r="AP989" s="5"/>
      <c r="AQ989" s="5"/>
      <c r="AR989" s="5"/>
      <c r="AS989" s="5"/>
      <c r="AT989" s="5"/>
      <c r="AU989" s="5"/>
      <c r="AV989" s="5"/>
      <c r="AW989" s="5"/>
      <c r="AX989" s="5"/>
      <c r="AY989" s="5"/>
      <c r="AZ989" s="5"/>
      <c r="BA989" s="5"/>
      <c r="BB989" s="5"/>
      <c r="BC989" s="5"/>
      <c r="BD989" s="5"/>
      <c r="BE989" s="5"/>
      <c r="BF989" s="5"/>
      <c r="BG989" s="5"/>
      <c r="BH989" s="5"/>
      <c r="BI989" s="5"/>
      <c r="BJ989" s="5"/>
      <c r="BK989" s="5"/>
      <c r="BL989" s="5"/>
      <c r="BM989" s="5"/>
      <c r="BN989" s="5"/>
      <c r="BO989" s="5"/>
      <c r="BP989" s="5"/>
      <c r="BQ989" s="5"/>
      <c r="BR989" s="5"/>
      <c r="BS989" s="5"/>
      <c r="BT989" s="5"/>
      <c r="BU989" s="5"/>
      <c r="BV989" s="5"/>
      <c r="BW989" s="5"/>
      <c r="BX989" s="5"/>
      <c r="BY989" s="5"/>
      <c r="BZ989" s="5"/>
      <c r="CA989" s="5"/>
      <c r="CB989" s="5"/>
      <c r="CC989" s="5"/>
      <c r="CD989" s="5"/>
      <c r="CE989" s="5"/>
      <c r="CF989" s="5"/>
      <c r="CG989" s="5"/>
      <c r="CH989" s="5"/>
      <c r="CI989" s="5"/>
    </row>
    <row r="990" ht="14.25" customHeight="1">
      <c r="B990" s="1"/>
      <c r="D990" s="1"/>
      <c r="E990" s="33"/>
      <c r="F990" s="34"/>
      <c r="G990" s="5"/>
      <c r="H990" s="5"/>
      <c r="I990" s="5"/>
      <c r="J990" s="5"/>
      <c r="K990" s="5"/>
      <c r="L990" s="5"/>
      <c r="M990" s="32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  <c r="AE990" s="5"/>
      <c r="AF990" s="5"/>
      <c r="AG990" s="5"/>
      <c r="AH990" s="5"/>
      <c r="AI990" s="5"/>
      <c r="AJ990" s="5"/>
      <c r="AK990" s="5"/>
      <c r="AL990" s="5"/>
      <c r="AM990" s="5"/>
      <c r="AN990" s="5"/>
      <c r="AO990" s="5"/>
      <c r="AP990" s="5"/>
      <c r="AQ990" s="5"/>
      <c r="AR990" s="5"/>
      <c r="AS990" s="5"/>
      <c r="AT990" s="5"/>
      <c r="AU990" s="5"/>
      <c r="AV990" s="5"/>
      <c r="AW990" s="5"/>
      <c r="AX990" s="5"/>
      <c r="AY990" s="5"/>
      <c r="AZ990" s="5"/>
      <c r="BA990" s="5"/>
      <c r="BB990" s="5"/>
      <c r="BC990" s="5"/>
      <c r="BD990" s="5"/>
      <c r="BE990" s="5"/>
      <c r="BF990" s="5"/>
      <c r="BG990" s="5"/>
      <c r="BH990" s="5"/>
      <c r="BI990" s="5"/>
      <c r="BJ990" s="5"/>
      <c r="BK990" s="5"/>
      <c r="BL990" s="5"/>
      <c r="BM990" s="5"/>
      <c r="BN990" s="5"/>
      <c r="BO990" s="5"/>
      <c r="BP990" s="5"/>
      <c r="BQ990" s="5"/>
      <c r="BR990" s="5"/>
      <c r="BS990" s="5"/>
      <c r="BT990" s="5"/>
      <c r="BU990" s="5"/>
      <c r="BV990" s="5"/>
      <c r="BW990" s="5"/>
      <c r="BX990" s="5"/>
      <c r="BY990" s="5"/>
      <c r="BZ990" s="5"/>
      <c r="CA990" s="5"/>
      <c r="CB990" s="5"/>
      <c r="CC990" s="5"/>
      <c r="CD990" s="5"/>
      <c r="CE990" s="5"/>
      <c r="CF990" s="5"/>
      <c r="CG990" s="5"/>
      <c r="CH990" s="5"/>
      <c r="CI990" s="5"/>
    </row>
    <row r="991" ht="14.25" customHeight="1">
      <c r="B991" s="1"/>
      <c r="D991" s="1"/>
      <c r="E991" s="33"/>
      <c r="F991" s="34"/>
      <c r="G991" s="5"/>
      <c r="H991" s="5"/>
      <c r="I991" s="5"/>
      <c r="J991" s="5"/>
      <c r="K991" s="5"/>
      <c r="L991" s="5"/>
      <c r="M991" s="32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  <c r="AG991" s="5"/>
      <c r="AH991" s="5"/>
      <c r="AI991" s="5"/>
      <c r="AJ991" s="5"/>
      <c r="AK991" s="5"/>
      <c r="AL991" s="5"/>
      <c r="AM991" s="5"/>
      <c r="AN991" s="5"/>
      <c r="AO991" s="5"/>
      <c r="AP991" s="5"/>
      <c r="AQ991" s="5"/>
      <c r="AR991" s="5"/>
      <c r="AS991" s="5"/>
      <c r="AT991" s="5"/>
      <c r="AU991" s="5"/>
      <c r="AV991" s="5"/>
      <c r="AW991" s="5"/>
      <c r="AX991" s="5"/>
      <c r="AY991" s="5"/>
      <c r="AZ991" s="5"/>
      <c r="BA991" s="5"/>
      <c r="BB991" s="5"/>
      <c r="BC991" s="5"/>
      <c r="BD991" s="5"/>
      <c r="BE991" s="5"/>
      <c r="BF991" s="5"/>
      <c r="BG991" s="5"/>
      <c r="BH991" s="5"/>
      <c r="BI991" s="5"/>
      <c r="BJ991" s="5"/>
      <c r="BK991" s="5"/>
      <c r="BL991" s="5"/>
      <c r="BM991" s="5"/>
      <c r="BN991" s="5"/>
      <c r="BO991" s="5"/>
      <c r="BP991" s="5"/>
      <c r="BQ991" s="5"/>
      <c r="BR991" s="5"/>
      <c r="BS991" s="5"/>
      <c r="BT991" s="5"/>
      <c r="BU991" s="5"/>
      <c r="BV991" s="5"/>
      <c r="BW991" s="5"/>
      <c r="BX991" s="5"/>
      <c r="BY991" s="5"/>
      <c r="BZ991" s="5"/>
      <c r="CA991" s="5"/>
      <c r="CB991" s="5"/>
      <c r="CC991" s="5"/>
      <c r="CD991" s="5"/>
      <c r="CE991" s="5"/>
      <c r="CF991" s="5"/>
      <c r="CG991" s="5"/>
      <c r="CH991" s="5"/>
      <c r="CI991" s="5"/>
    </row>
    <row r="992" ht="14.25" customHeight="1">
      <c r="B992" s="1"/>
      <c r="D992" s="1"/>
      <c r="E992" s="33"/>
      <c r="F992" s="34"/>
      <c r="G992" s="5"/>
      <c r="H992" s="5"/>
      <c r="I992" s="5"/>
      <c r="J992" s="5"/>
      <c r="K992" s="5"/>
      <c r="L992" s="5"/>
      <c r="M992" s="32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  <c r="AE992" s="5"/>
      <c r="AF992" s="5"/>
      <c r="AG992" s="5"/>
      <c r="AH992" s="5"/>
      <c r="AI992" s="5"/>
      <c r="AJ992" s="5"/>
      <c r="AK992" s="5"/>
      <c r="AL992" s="5"/>
      <c r="AM992" s="5"/>
      <c r="AN992" s="5"/>
      <c r="AO992" s="5"/>
      <c r="AP992" s="5"/>
      <c r="AQ992" s="5"/>
      <c r="AR992" s="5"/>
      <c r="AS992" s="5"/>
      <c r="AT992" s="5"/>
      <c r="AU992" s="5"/>
      <c r="AV992" s="5"/>
      <c r="AW992" s="5"/>
      <c r="AX992" s="5"/>
      <c r="AY992" s="5"/>
      <c r="AZ992" s="5"/>
      <c r="BA992" s="5"/>
      <c r="BB992" s="5"/>
      <c r="BC992" s="5"/>
      <c r="BD992" s="5"/>
      <c r="BE992" s="5"/>
      <c r="BF992" s="5"/>
      <c r="BG992" s="5"/>
      <c r="BH992" s="5"/>
      <c r="BI992" s="5"/>
      <c r="BJ992" s="5"/>
      <c r="BK992" s="5"/>
      <c r="BL992" s="5"/>
      <c r="BM992" s="5"/>
      <c r="BN992" s="5"/>
      <c r="BO992" s="5"/>
      <c r="BP992" s="5"/>
      <c r="BQ992" s="5"/>
      <c r="BR992" s="5"/>
      <c r="BS992" s="5"/>
      <c r="BT992" s="5"/>
      <c r="BU992" s="5"/>
      <c r="BV992" s="5"/>
      <c r="BW992" s="5"/>
      <c r="BX992" s="5"/>
      <c r="BY992" s="5"/>
      <c r="BZ992" s="5"/>
      <c r="CA992" s="5"/>
      <c r="CB992" s="5"/>
      <c r="CC992" s="5"/>
      <c r="CD992" s="5"/>
      <c r="CE992" s="5"/>
      <c r="CF992" s="5"/>
      <c r="CG992" s="5"/>
      <c r="CH992" s="5"/>
      <c r="CI992" s="5"/>
    </row>
    <row r="993" ht="14.25" customHeight="1">
      <c r="B993" s="1"/>
      <c r="D993" s="1"/>
      <c r="E993" s="33"/>
      <c r="F993" s="34"/>
      <c r="G993" s="5"/>
      <c r="H993" s="5"/>
      <c r="I993" s="5"/>
      <c r="J993" s="5"/>
      <c r="K993" s="5"/>
      <c r="L993" s="5"/>
      <c r="M993" s="32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  <c r="AE993" s="5"/>
      <c r="AF993" s="5"/>
      <c r="AG993" s="5"/>
      <c r="AH993" s="5"/>
      <c r="AI993" s="5"/>
      <c r="AJ993" s="5"/>
      <c r="AK993" s="5"/>
      <c r="AL993" s="5"/>
      <c r="AM993" s="5"/>
      <c r="AN993" s="5"/>
      <c r="AO993" s="5"/>
      <c r="AP993" s="5"/>
      <c r="AQ993" s="5"/>
      <c r="AR993" s="5"/>
      <c r="AS993" s="5"/>
      <c r="AT993" s="5"/>
      <c r="AU993" s="5"/>
      <c r="AV993" s="5"/>
      <c r="AW993" s="5"/>
      <c r="AX993" s="5"/>
      <c r="AY993" s="5"/>
      <c r="AZ993" s="5"/>
      <c r="BA993" s="5"/>
      <c r="BB993" s="5"/>
      <c r="BC993" s="5"/>
      <c r="BD993" s="5"/>
      <c r="BE993" s="5"/>
      <c r="BF993" s="5"/>
      <c r="BG993" s="5"/>
      <c r="BH993" s="5"/>
      <c r="BI993" s="5"/>
      <c r="BJ993" s="5"/>
      <c r="BK993" s="5"/>
      <c r="BL993" s="5"/>
      <c r="BM993" s="5"/>
      <c r="BN993" s="5"/>
      <c r="BO993" s="5"/>
      <c r="BP993" s="5"/>
      <c r="BQ993" s="5"/>
      <c r="BR993" s="5"/>
      <c r="BS993" s="5"/>
      <c r="BT993" s="5"/>
      <c r="BU993" s="5"/>
      <c r="BV993" s="5"/>
      <c r="BW993" s="5"/>
      <c r="BX993" s="5"/>
      <c r="BY993" s="5"/>
      <c r="BZ993" s="5"/>
      <c r="CA993" s="5"/>
      <c r="CB993" s="5"/>
      <c r="CC993" s="5"/>
      <c r="CD993" s="5"/>
      <c r="CE993" s="5"/>
      <c r="CF993" s="5"/>
      <c r="CG993" s="5"/>
      <c r="CH993" s="5"/>
      <c r="CI993" s="5"/>
    </row>
    <row r="994" ht="14.25" customHeight="1">
      <c r="B994" s="1"/>
      <c r="D994" s="1"/>
      <c r="E994" s="33"/>
      <c r="F994" s="34"/>
      <c r="G994" s="5"/>
      <c r="H994" s="5"/>
      <c r="I994" s="5"/>
      <c r="J994" s="5"/>
      <c r="K994" s="5"/>
      <c r="L994" s="5"/>
      <c r="M994" s="32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  <c r="AG994" s="5"/>
      <c r="AH994" s="5"/>
      <c r="AI994" s="5"/>
      <c r="AJ994" s="5"/>
      <c r="AK994" s="5"/>
      <c r="AL994" s="5"/>
      <c r="AM994" s="5"/>
      <c r="AN994" s="5"/>
      <c r="AO994" s="5"/>
      <c r="AP994" s="5"/>
      <c r="AQ994" s="5"/>
      <c r="AR994" s="5"/>
      <c r="AS994" s="5"/>
      <c r="AT994" s="5"/>
      <c r="AU994" s="5"/>
      <c r="AV994" s="5"/>
      <c r="AW994" s="5"/>
      <c r="AX994" s="5"/>
      <c r="AY994" s="5"/>
      <c r="AZ994" s="5"/>
      <c r="BA994" s="5"/>
      <c r="BB994" s="5"/>
      <c r="BC994" s="5"/>
      <c r="BD994" s="5"/>
      <c r="BE994" s="5"/>
      <c r="BF994" s="5"/>
      <c r="BG994" s="5"/>
      <c r="BH994" s="5"/>
      <c r="BI994" s="5"/>
      <c r="BJ994" s="5"/>
      <c r="BK994" s="5"/>
      <c r="BL994" s="5"/>
      <c r="BM994" s="5"/>
      <c r="BN994" s="5"/>
      <c r="BO994" s="5"/>
      <c r="BP994" s="5"/>
      <c r="BQ994" s="5"/>
      <c r="BR994" s="5"/>
      <c r="BS994" s="5"/>
      <c r="BT994" s="5"/>
      <c r="BU994" s="5"/>
      <c r="BV994" s="5"/>
      <c r="BW994" s="5"/>
      <c r="BX994" s="5"/>
      <c r="BY994" s="5"/>
      <c r="BZ994" s="5"/>
      <c r="CA994" s="5"/>
      <c r="CB994" s="5"/>
      <c r="CC994" s="5"/>
      <c r="CD994" s="5"/>
      <c r="CE994" s="5"/>
      <c r="CF994" s="5"/>
      <c r="CG994" s="5"/>
      <c r="CH994" s="5"/>
      <c r="CI994" s="5"/>
    </row>
    <row r="995" ht="14.25" customHeight="1">
      <c r="B995" s="1"/>
      <c r="D995" s="1"/>
      <c r="E995" s="33"/>
      <c r="F995" s="34"/>
      <c r="G995" s="5"/>
      <c r="H995" s="5"/>
      <c r="I995" s="5"/>
      <c r="J995" s="5"/>
      <c r="K995" s="5"/>
      <c r="L995" s="5"/>
      <c r="M995" s="32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  <c r="AE995" s="5"/>
      <c r="AF995" s="5"/>
      <c r="AG995" s="5"/>
      <c r="AH995" s="5"/>
      <c r="AI995" s="5"/>
      <c r="AJ995" s="5"/>
      <c r="AK995" s="5"/>
      <c r="AL995" s="5"/>
      <c r="AM995" s="5"/>
      <c r="AN995" s="5"/>
      <c r="AO995" s="5"/>
      <c r="AP995" s="5"/>
      <c r="AQ995" s="5"/>
      <c r="AR995" s="5"/>
      <c r="AS995" s="5"/>
      <c r="AT995" s="5"/>
      <c r="AU995" s="5"/>
      <c r="AV995" s="5"/>
      <c r="AW995" s="5"/>
      <c r="AX995" s="5"/>
      <c r="AY995" s="5"/>
      <c r="AZ995" s="5"/>
      <c r="BA995" s="5"/>
      <c r="BB995" s="5"/>
      <c r="BC995" s="5"/>
      <c r="BD995" s="5"/>
      <c r="BE995" s="5"/>
      <c r="BF995" s="5"/>
      <c r="BG995" s="5"/>
      <c r="BH995" s="5"/>
      <c r="BI995" s="5"/>
      <c r="BJ995" s="5"/>
      <c r="BK995" s="5"/>
      <c r="BL995" s="5"/>
      <c r="BM995" s="5"/>
      <c r="BN995" s="5"/>
      <c r="BO995" s="5"/>
      <c r="BP995" s="5"/>
      <c r="BQ995" s="5"/>
      <c r="BR995" s="5"/>
      <c r="BS995" s="5"/>
      <c r="BT995" s="5"/>
      <c r="BU995" s="5"/>
      <c r="BV995" s="5"/>
      <c r="BW995" s="5"/>
      <c r="BX995" s="5"/>
      <c r="BY995" s="5"/>
      <c r="BZ995" s="5"/>
      <c r="CA995" s="5"/>
      <c r="CB995" s="5"/>
      <c r="CC995" s="5"/>
      <c r="CD995" s="5"/>
      <c r="CE995" s="5"/>
      <c r="CF995" s="5"/>
      <c r="CG995" s="5"/>
      <c r="CH995" s="5"/>
      <c r="CI995" s="5"/>
    </row>
    <row r="996" ht="14.25" customHeight="1">
      <c r="B996" s="1"/>
      <c r="D996" s="1"/>
      <c r="E996" s="33"/>
      <c r="F996" s="34"/>
      <c r="G996" s="5"/>
      <c r="H996" s="5"/>
      <c r="I996" s="5"/>
      <c r="J996" s="5"/>
      <c r="K996" s="5"/>
      <c r="L996" s="5"/>
      <c r="M996" s="32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  <c r="AE996" s="5"/>
      <c r="AF996" s="5"/>
      <c r="AG996" s="5"/>
      <c r="AH996" s="5"/>
      <c r="AI996" s="5"/>
      <c r="AJ996" s="5"/>
      <c r="AK996" s="5"/>
      <c r="AL996" s="5"/>
      <c r="AM996" s="5"/>
      <c r="AN996" s="5"/>
      <c r="AO996" s="5"/>
      <c r="AP996" s="5"/>
      <c r="AQ996" s="5"/>
      <c r="AR996" s="5"/>
      <c r="AS996" s="5"/>
      <c r="AT996" s="5"/>
      <c r="AU996" s="5"/>
      <c r="AV996" s="5"/>
      <c r="AW996" s="5"/>
      <c r="AX996" s="5"/>
      <c r="AY996" s="5"/>
      <c r="AZ996" s="5"/>
      <c r="BA996" s="5"/>
      <c r="BB996" s="5"/>
      <c r="BC996" s="5"/>
      <c r="BD996" s="5"/>
      <c r="BE996" s="5"/>
      <c r="BF996" s="5"/>
      <c r="BG996" s="5"/>
      <c r="BH996" s="5"/>
      <c r="BI996" s="5"/>
      <c r="BJ996" s="5"/>
      <c r="BK996" s="5"/>
      <c r="BL996" s="5"/>
      <c r="BM996" s="5"/>
      <c r="BN996" s="5"/>
      <c r="BO996" s="5"/>
      <c r="BP996" s="5"/>
      <c r="BQ996" s="5"/>
      <c r="BR996" s="5"/>
      <c r="BS996" s="5"/>
      <c r="BT996" s="5"/>
      <c r="BU996" s="5"/>
      <c r="BV996" s="5"/>
      <c r="BW996" s="5"/>
      <c r="BX996" s="5"/>
      <c r="BY996" s="5"/>
      <c r="BZ996" s="5"/>
      <c r="CA996" s="5"/>
      <c r="CB996" s="5"/>
      <c r="CC996" s="5"/>
      <c r="CD996" s="5"/>
      <c r="CE996" s="5"/>
      <c r="CF996" s="5"/>
      <c r="CG996" s="5"/>
      <c r="CH996" s="5"/>
      <c r="CI996" s="5"/>
    </row>
    <row r="997" ht="14.25" customHeight="1">
      <c r="B997" s="1"/>
      <c r="D997" s="1"/>
      <c r="E997" s="33"/>
      <c r="F997" s="34"/>
      <c r="G997" s="5"/>
      <c r="H997" s="5"/>
      <c r="I997" s="5"/>
      <c r="J997" s="5"/>
      <c r="K997" s="5"/>
      <c r="L997" s="5"/>
      <c r="M997" s="32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  <c r="AE997" s="5"/>
      <c r="AF997" s="5"/>
      <c r="AG997" s="5"/>
      <c r="AH997" s="5"/>
      <c r="AI997" s="5"/>
      <c r="AJ997" s="5"/>
      <c r="AK997" s="5"/>
      <c r="AL997" s="5"/>
      <c r="AM997" s="5"/>
      <c r="AN997" s="5"/>
      <c r="AO997" s="5"/>
      <c r="AP997" s="5"/>
      <c r="AQ997" s="5"/>
      <c r="AR997" s="5"/>
      <c r="AS997" s="5"/>
      <c r="AT997" s="5"/>
      <c r="AU997" s="5"/>
      <c r="AV997" s="5"/>
      <c r="AW997" s="5"/>
      <c r="AX997" s="5"/>
      <c r="AY997" s="5"/>
      <c r="AZ997" s="5"/>
      <c r="BA997" s="5"/>
      <c r="BB997" s="5"/>
      <c r="BC997" s="5"/>
      <c r="BD997" s="5"/>
      <c r="BE997" s="5"/>
      <c r="BF997" s="5"/>
      <c r="BG997" s="5"/>
      <c r="BH997" s="5"/>
      <c r="BI997" s="5"/>
      <c r="BJ997" s="5"/>
      <c r="BK997" s="5"/>
      <c r="BL997" s="5"/>
      <c r="BM997" s="5"/>
      <c r="BN997" s="5"/>
      <c r="BO997" s="5"/>
      <c r="BP997" s="5"/>
      <c r="BQ997" s="5"/>
      <c r="BR997" s="5"/>
      <c r="BS997" s="5"/>
      <c r="BT997" s="5"/>
      <c r="BU997" s="5"/>
      <c r="BV997" s="5"/>
      <c r="BW997" s="5"/>
      <c r="BX997" s="5"/>
      <c r="BY997" s="5"/>
      <c r="BZ997" s="5"/>
      <c r="CA997" s="5"/>
      <c r="CB997" s="5"/>
      <c r="CC997" s="5"/>
      <c r="CD997" s="5"/>
      <c r="CE997" s="5"/>
      <c r="CF997" s="5"/>
      <c r="CG997" s="5"/>
      <c r="CH997" s="5"/>
      <c r="CI997" s="5"/>
    </row>
    <row r="998" ht="14.25" customHeight="1">
      <c r="B998" s="1"/>
      <c r="D998" s="1"/>
      <c r="E998" s="33"/>
      <c r="F998" s="34"/>
      <c r="G998" s="5"/>
      <c r="H998" s="5"/>
      <c r="I998" s="5"/>
      <c r="J998" s="5"/>
      <c r="K998" s="5"/>
      <c r="L998" s="5"/>
      <c r="M998" s="32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  <c r="AE998" s="5"/>
      <c r="AF998" s="5"/>
      <c r="AG998" s="5"/>
      <c r="AH998" s="5"/>
      <c r="AI998" s="5"/>
      <c r="AJ998" s="5"/>
      <c r="AK998" s="5"/>
      <c r="AL998" s="5"/>
      <c r="AM998" s="5"/>
      <c r="AN998" s="5"/>
      <c r="AO998" s="5"/>
      <c r="AP998" s="5"/>
      <c r="AQ998" s="5"/>
      <c r="AR998" s="5"/>
      <c r="AS998" s="5"/>
      <c r="AT998" s="5"/>
      <c r="AU998" s="5"/>
      <c r="AV998" s="5"/>
      <c r="AW998" s="5"/>
      <c r="AX998" s="5"/>
      <c r="AY998" s="5"/>
      <c r="AZ998" s="5"/>
      <c r="BA998" s="5"/>
      <c r="BB998" s="5"/>
      <c r="BC998" s="5"/>
      <c r="BD998" s="5"/>
      <c r="BE998" s="5"/>
      <c r="BF998" s="5"/>
      <c r="BG998" s="5"/>
      <c r="BH998" s="5"/>
      <c r="BI998" s="5"/>
      <c r="BJ998" s="5"/>
      <c r="BK998" s="5"/>
      <c r="BL998" s="5"/>
      <c r="BM998" s="5"/>
      <c r="BN998" s="5"/>
      <c r="BO998" s="5"/>
      <c r="BP998" s="5"/>
      <c r="BQ998" s="5"/>
      <c r="BR998" s="5"/>
      <c r="BS998" s="5"/>
      <c r="BT998" s="5"/>
      <c r="BU998" s="5"/>
      <c r="BV998" s="5"/>
      <c r="BW998" s="5"/>
      <c r="BX998" s="5"/>
      <c r="BY998" s="5"/>
      <c r="BZ998" s="5"/>
      <c r="CA998" s="5"/>
      <c r="CB998" s="5"/>
      <c r="CC998" s="5"/>
      <c r="CD998" s="5"/>
      <c r="CE998" s="5"/>
      <c r="CF998" s="5"/>
      <c r="CG998" s="5"/>
      <c r="CH998" s="5"/>
      <c r="CI998" s="5"/>
    </row>
    <row r="999" ht="14.25" customHeight="1">
      <c r="B999" s="1"/>
      <c r="D999" s="1"/>
      <c r="E999" s="33"/>
      <c r="F999" s="34"/>
      <c r="G999" s="5"/>
      <c r="H999" s="5"/>
      <c r="I999" s="5"/>
      <c r="J999" s="5"/>
      <c r="K999" s="5"/>
      <c r="L999" s="5"/>
      <c r="M999" s="32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  <c r="AE999" s="5"/>
      <c r="AF999" s="5"/>
      <c r="AG999" s="5"/>
      <c r="AH999" s="5"/>
      <c r="AI999" s="5"/>
      <c r="AJ999" s="5"/>
      <c r="AK999" s="5"/>
      <c r="AL999" s="5"/>
      <c r="AM999" s="5"/>
      <c r="AN999" s="5"/>
      <c r="AO999" s="5"/>
      <c r="AP999" s="5"/>
      <c r="AQ999" s="5"/>
      <c r="AR999" s="5"/>
      <c r="AS999" s="5"/>
      <c r="AT999" s="5"/>
      <c r="AU999" s="5"/>
      <c r="AV999" s="5"/>
      <c r="AW999" s="5"/>
      <c r="AX999" s="5"/>
      <c r="AY999" s="5"/>
      <c r="AZ999" s="5"/>
      <c r="BA999" s="5"/>
      <c r="BB999" s="5"/>
      <c r="BC999" s="5"/>
      <c r="BD999" s="5"/>
      <c r="BE999" s="5"/>
      <c r="BF999" s="5"/>
      <c r="BG999" s="5"/>
      <c r="BH999" s="5"/>
      <c r="BI999" s="5"/>
      <c r="BJ999" s="5"/>
      <c r="BK999" s="5"/>
      <c r="BL999" s="5"/>
      <c r="BM999" s="5"/>
      <c r="BN999" s="5"/>
      <c r="BO999" s="5"/>
      <c r="BP999" s="5"/>
      <c r="BQ999" s="5"/>
      <c r="BR999" s="5"/>
      <c r="BS999" s="5"/>
      <c r="BT999" s="5"/>
      <c r="BU999" s="5"/>
      <c r="BV999" s="5"/>
      <c r="BW999" s="5"/>
      <c r="BX999" s="5"/>
      <c r="BY999" s="5"/>
      <c r="BZ999" s="5"/>
      <c r="CA999" s="5"/>
      <c r="CB999" s="5"/>
      <c r="CC999" s="5"/>
      <c r="CD999" s="5"/>
      <c r="CE999" s="5"/>
      <c r="CF999" s="5"/>
      <c r="CG999" s="5"/>
      <c r="CH999" s="5"/>
      <c r="CI999" s="5"/>
    </row>
    <row r="1000" ht="14.25" customHeight="1">
      <c r="B1000" s="1"/>
      <c r="D1000" s="1"/>
      <c r="E1000" s="33"/>
      <c r="F1000" s="34"/>
      <c r="G1000" s="5"/>
      <c r="H1000" s="5"/>
      <c r="I1000" s="5"/>
      <c r="J1000" s="5"/>
      <c r="K1000" s="5"/>
      <c r="L1000" s="5"/>
      <c r="M1000" s="32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  <c r="AG1000" s="5"/>
      <c r="AH1000" s="5"/>
      <c r="AI1000" s="5"/>
      <c r="AJ1000" s="5"/>
      <c r="AK1000" s="5"/>
      <c r="AL1000" s="5"/>
      <c r="AM1000" s="5"/>
      <c r="AN1000" s="5"/>
      <c r="AO1000" s="5"/>
      <c r="AP1000" s="5"/>
      <c r="AQ1000" s="5"/>
      <c r="AR1000" s="5"/>
      <c r="AS1000" s="5"/>
      <c r="AT1000" s="5"/>
      <c r="AU1000" s="5"/>
      <c r="AV1000" s="5"/>
      <c r="AW1000" s="5"/>
      <c r="AX1000" s="5"/>
      <c r="AY1000" s="5"/>
      <c r="AZ1000" s="5"/>
      <c r="BA1000" s="5"/>
      <c r="BB1000" s="5"/>
      <c r="BC1000" s="5"/>
      <c r="BD1000" s="5"/>
      <c r="BE1000" s="5"/>
      <c r="BF1000" s="5"/>
      <c r="BG1000" s="5"/>
      <c r="BH1000" s="5"/>
      <c r="BI1000" s="5"/>
      <c r="BJ1000" s="5"/>
      <c r="BK1000" s="5"/>
      <c r="BL1000" s="5"/>
      <c r="BM1000" s="5"/>
      <c r="BN1000" s="5"/>
      <c r="BO1000" s="5"/>
      <c r="BP1000" s="5"/>
      <c r="BQ1000" s="5"/>
      <c r="BR1000" s="5"/>
      <c r="BS1000" s="5"/>
      <c r="BT1000" s="5"/>
      <c r="BU1000" s="5"/>
      <c r="BV1000" s="5"/>
      <c r="BW1000" s="5"/>
      <c r="BX1000" s="5"/>
      <c r="BY1000" s="5"/>
      <c r="BZ1000" s="5"/>
      <c r="CA1000" s="5"/>
      <c r="CB1000" s="5"/>
      <c r="CC1000" s="5"/>
      <c r="CD1000" s="5"/>
      <c r="CE1000" s="5"/>
      <c r="CF1000" s="5"/>
      <c r="CG1000" s="5"/>
      <c r="CH1000" s="5"/>
      <c r="CI1000" s="5"/>
    </row>
  </sheetData>
  <printOptions/>
  <pageMargins bottom="0.75" footer="0.0" header="0.0" left="0.7" right="0.7" top="0.75"/>
  <pageSetup orientation="portrait"/>
  <drawing r:id="rId1"/>
  <tableParts count="2">
    <tablePart r:id="rId4"/>
    <tablePart r:id="rId5"/>
  </tableParts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2021-04-06T21:32:20Z</dcterms:created>
  <dc:creator>derek klass</dc:creator>
</cp:coreProperties>
</file>